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aj/Desktop/publications/2020 Russ meta-analysis/submission files/Supplemental Files/"/>
    </mc:Choice>
  </mc:AlternateContent>
  <xr:revisionPtr revIDLastSave="0" documentId="13_ncr:1_{1C4D465B-C8B2-4C47-AE77-BCFEEEBE552F}" xr6:coauthVersionLast="45" xr6:coauthVersionMax="45" xr10:uidLastSave="{00000000-0000-0000-0000-000000000000}"/>
  <bookViews>
    <workbookView xWindow="0" yWindow="460" windowWidth="28400" windowHeight="15600" xr2:uid="{BD9463A0-C6CD-A946-89C0-AF8E545A0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R4" i="1" s="1"/>
  <c r="H5" i="1"/>
  <c r="N5" i="1" s="1"/>
  <c r="H6" i="1"/>
  <c r="P6" i="1" s="1"/>
  <c r="H7" i="1"/>
  <c r="H8" i="1"/>
  <c r="O8" i="1" s="1"/>
  <c r="H9" i="1"/>
  <c r="H10" i="1"/>
  <c r="R10" i="1" s="1"/>
  <c r="H11" i="1"/>
  <c r="N11" i="1" s="1"/>
  <c r="H12" i="1"/>
  <c r="P12" i="1" s="1"/>
  <c r="H13" i="1"/>
  <c r="N13" i="1" s="1"/>
  <c r="H14" i="1"/>
  <c r="L14" i="1" s="1"/>
  <c r="H15" i="1"/>
  <c r="R15" i="1" s="1"/>
  <c r="H16" i="1"/>
  <c r="R16" i="1" s="1"/>
  <c r="H17" i="1"/>
  <c r="N17" i="1" s="1"/>
  <c r="H18" i="1"/>
  <c r="P18" i="1" s="1"/>
  <c r="H19" i="1"/>
  <c r="H20" i="1"/>
  <c r="P20" i="1" s="1"/>
  <c r="H21" i="1"/>
  <c r="M21" i="1" s="1"/>
  <c r="H22" i="1"/>
  <c r="R22" i="1" s="1"/>
  <c r="H23" i="1"/>
  <c r="N23" i="1" s="1"/>
  <c r="H24" i="1"/>
  <c r="P24" i="1" s="1"/>
  <c r="H25" i="1"/>
  <c r="O25" i="1" s="1"/>
  <c r="H26" i="1"/>
  <c r="H27" i="1"/>
  <c r="R27" i="1" s="1"/>
  <c r="H28" i="1"/>
  <c r="R28" i="1" s="1"/>
  <c r="H29" i="1"/>
  <c r="N29" i="1" s="1"/>
  <c r="H30" i="1"/>
  <c r="P30" i="1" s="1"/>
  <c r="H31" i="1"/>
  <c r="H32" i="1"/>
  <c r="P32" i="1" s="1"/>
  <c r="H33" i="1"/>
  <c r="H34" i="1"/>
  <c r="R34" i="1" s="1"/>
  <c r="H35" i="1"/>
  <c r="M35" i="1" s="1"/>
  <c r="H36" i="1"/>
  <c r="P36" i="1" s="1"/>
  <c r="H37" i="1"/>
  <c r="O37" i="1" s="1"/>
  <c r="H38" i="1"/>
  <c r="Q38" i="1" s="1"/>
  <c r="H39" i="1"/>
  <c r="M39" i="1" s="1"/>
  <c r="H40" i="1"/>
  <c r="Q40" i="1" s="1"/>
  <c r="H41" i="1"/>
  <c r="L41" i="1" s="1"/>
  <c r="H42" i="1"/>
  <c r="P42" i="1" s="1"/>
  <c r="H43" i="1"/>
  <c r="P43" i="1" s="1"/>
  <c r="H44" i="1"/>
  <c r="N44" i="1" s="1"/>
  <c r="H45" i="1"/>
  <c r="N45" i="1" s="1"/>
  <c r="H46" i="1"/>
  <c r="Q46" i="1" s="1"/>
  <c r="H47" i="1"/>
  <c r="N47" i="1" s="1"/>
  <c r="H48" i="1"/>
  <c r="P48" i="1" s="1"/>
  <c r="H49" i="1"/>
  <c r="O49" i="1" s="1"/>
  <c r="H50" i="1"/>
  <c r="L50" i="1" s="1"/>
  <c r="H51" i="1"/>
  <c r="N51" i="1" s="1"/>
  <c r="H52" i="1"/>
  <c r="M52" i="1" s="1"/>
  <c r="H53" i="1"/>
  <c r="M53" i="1" s="1"/>
  <c r="H54" i="1"/>
  <c r="P54" i="1" s="1"/>
  <c r="H55" i="1"/>
  <c r="H56" i="1"/>
  <c r="L56" i="1" s="1"/>
  <c r="H57" i="1"/>
  <c r="N57" i="1" s="1"/>
  <c r="H58" i="1"/>
  <c r="P58" i="1" s="1"/>
  <c r="H59" i="1"/>
  <c r="Q59" i="1" s="1"/>
  <c r="H60" i="1"/>
  <c r="P60" i="1" s="1"/>
  <c r="H61" i="1"/>
  <c r="P61" i="1" s="1"/>
  <c r="H62" i="1"/>
  <c r="L62" i="1" s="1"/>
  <c r="H63" i="1"/>
  <c r="N63" i="1" s="1"/>
  <c r="H64" i="1"/>
  <c r="P64" i="1" s="1"/>
  <c r="H65" i="1"/>
  <c r="N65" i="1" s="1"/>
  <c r="H66" i="1"/>
  <c r="P66" i="1" s="1"/>
  <c r="H67" i="1"/>
  <c r="N67" i="1" s="1"/>
  <c r="H68" i="1"/>
  <c r="Q68" i="1" s="1"/>
  <c r="H69" i="1"/>
  <c r="N69" i="1" s="1"/>
  <c r="H70" i="1"/>
  <c r="Q70" i="1" s="1"/>
  <c r="H71" i="1"/>
  <c r="L71" i="1" s="1"/>
  <c r="H72" i="1"/>
  <c r="P72" i="1" s="1"/>
  <c r="H3" i="1"/>
  <c r="O3" i="1" s="1"/>
  <c r="L3" i="1" l="1"/>
  <c r="P25" i="1"/>
  <c r="M12" i="1"/>
  <c r="O72" i="1"/>
  <c r="L42" i="1"/>
  <c r="R48" i="1"/>
  <c r="L30" i="1"/>
  <c r="N42" i="1"/>
  <c r="L29" i="1"/>
  <c r="R41" i="1"/>
  <c r="M65" i="1"/>
  <c r="L65" i="1"/>
  <c r="M48" i="1"/>
  <c r="R60" i="1"/>
  <c r="L60" i="1"/>
  <c r="M47" i="1"/>
  <c r="N59" i="1"/>
  <c r="O18" i="1"/>
  <c r="L24" i="1"/>
  <c r="L12" i="1"/>
  <c r="O13" i="1"/>
  <c r="L54" i="1"/>
  <c r="M30" i="1"/>
  <c r="O67" i="1"/>
  <c r="N54" i="1"/>
  <c r="N37" i="1"/>
  <c r="P13" i="1"/>
  <c r="L47" i="1"/>
  <c r="M29" i="1"/>
  <c r="Q65" i="1"/>
  <c r="R53" i="1"/>
  <c r="R36" i="1"/>
  <c r="L43" i="1"/>
  <c r="L6" i="1"/>
  <c r="M17" i="1"/>
  <c r="N49" i="1"/>
  <c r="O30" i="1"/>
  <c r="O6" i="1"/>
  <c r="R46" i="1"/>
  <c r="R58" i="1"/>
  <c r="M3" i="1"/>
  <c r="M72" i="1"/>
  <c r="M60" i="1"/>
  <c r="M46" i="1"/>
  <c r="N72" i="1"/>
  <c r="R64" i="1"/>
  <c r="O60" i="1"/>
  <c r="R52" i="1"/>
  <c r="O48" i="1"/>
  <c r="P46" i="1"/>
  <c r="N41" i="1"/>
  <c r="O36" i="1"/>
  <c r="N30" i="1"/>
  <c r="O24" i="1"/>
  <c r="N18" i="1"/>
  <c r="O12" i="1"/>
  <c r="N6" i="1"/>
  <c r="L72" i="1"/>
  <c r="L18" i="1"/>
  <c r="M71" i="1"/>
  <c r="M54" i="1"/>
  <c r="M42" i="1"/>
  <c r="M28" i="1"/>
  <c r="M11" i="1"/>
  <c r="R71" i="1"/>
  <c r="R66" i="1"/>
  <c r="Q64" i="1"/>
  <c r="N60" i="1"/>
  <c r="P56" i="1"/>
  <c r="Q52" i="1"/>
  <c r="N48" i="1"/>
  <c r="R40" i="1"/>
  <c r="N36" i="1"/>
  <c r="R29" i="1"/>
  <c r="N24" i="1"/>
  <c r="R17" i="1"/>
  <c r="N12" i="1"/>
  <c r="R5" i="1"/>
  <c r="M34" i="1"/>
  <c r="P70" i="1"/>
  <c r="Q34" i="1"/>
  <c r="Q10" i="1"/>
  <c r="M64" i="1"/>
  <c r="L49" i="1"/>
  <c r="L36" i="1"/>
  <c r="M70" i="1"/>
  <c r="M36" i="1"/>
  <c r="M24" i="1"/>
  <c r="M10" i="1"/>
  <c r="R70" i="1"/>
  <c r="O66" i="1"/>
  <c r="R59" i="1"/>
  <c r="R54" i="1"/>
  <c r="P52" i="1"/>
  <c r="Q47" i="1"/>
  <c r="R42" i="1"/>
  <c r="N35" i="1"/>
  <c r="Q22" i="1"/>
  <c r="M16" i="1"/>
  <c r="L66" i="1"/>
  <c r="L48" i="1"/>
  <c r="L35" i="1"/>
  <c r="L13" i="1"/>
  <c r="M66" i="1"/>
  <c r="M18" i="1"/>
  <c r="M6" i="1"/>
  <c r="N66" i="1"/>
  <c r="N62" i="1"/>
  <c r="O54" i="1"/>
  <c r="O42" i="1"/>
  <c r="N33" i="1"/>
  <c r="O33" i="1"/>
  <c r="O51" i="1"/>
  <c r="Q45" i="1"/>
  <c r="Q39" i="1"/>
  <c r="Q32" i="1"/>
  <c r="Q20" i="1"/>
  <c r="Q8" i="1"/>
  <c r="N27" i="1"/>
  <c r="O27" i="1"/>
  <c r="O69" i="1"/>
  <c r="R26" i="1"/>
  <c r="M26" i="1"/>
  <c r="N26" i="1"/>
  <c r="P63" i="1"/>
  <c r="Q27" i="1"/>
  <c r="N21" i="1"/>
  <c r="O21" i="1"/>
  <c r="R56" i="1"/>
  <c r="M56" i="1"/>
  <c r="R20" i="1"/>
  <c r="M20" i="1"/>
  <c r="N20" i="1"/>
  <c r="L63" i="1"/>
  <c r="Q19" i="1"/>
  <c r="M19" i="1"/>
  <c r="R19" i="1"/>
  <c r="L26" i="1"/>
  <c r="N56" i="1"/>
  <c r="N15" i="1"/>
  <c r="O15" i="1"/>
  <c r="L57" i="1"/>
  <c r="L21" i="1"/>
  <c r="Q63" i="1"/>
  <c r="R44" i="1"/>
  <c r="M44" i="1"/>
  <c r="Q67" i="1"/>
  <c r="M67" i="1"/>
  <c r="R67" i="1"/>
  <c r="Q7" i="1"/>
  <c r="M7" i="1"/>
  <c r="R7" i="1"/>
  <c r="M45" i="1"/>
  <c r="N39" i="1"/>
  <c r="O39" i="1"/>
  <c r="M57" i="1"/>
  <c r="R68" i="1"/>
  <c r="M68" i="1"/>
  <c r="R50" i="1"/>
  <c r="M50" i="1"/>
  <c r="R32" i="1"/>
  <c r="M32" i="1"/>
  <c r="N32" i="1"/>
  <c r="R14" i="1"/>
  <c r="M14" i="1"/>
  <c r="N14" i="1"/>
  <c r="L27" i="1"/>
  <c r="R57" i="1"/>
  <c r="Q50" i="1"/>
  <c r="P39" i="1"/>
  <c r="P8" i="1"/>
  <c r="Q55" i="1"/>
  <c r="M55" i="1"/>
  <c r="R55" i="1"/>
  <c r="Q25" i="1"/>
  <c r="M25" i="1"/>
  <c r="R25" i="1"/>
  <c r="N3" i="1"/>
  <c r="L19" i="1"/>
  <c r="O63" i="1"/>
  <c r="Q57" i="1"/>
  <c r="O45" i="1"/>
  <c r="O32" i="1"/>
  <c r="P27" i="1"/>
  <c r="N25" i="1"/>
  <c r="O20" i="1"/>
  <c r="P15" i="1"/>
  <c r="L32" i="1"/>
  <c r="N9" i="1"/>
  <c r="O9" i="1"/>
  <c r="R62" i="1"/>
  <c r="M62" i="1"/>
  <c r="R38" i="1"/>
  <c r="M38" i="1"/>
  <c r="N38" i="1"/>
  <c r="R8" i="1"/>
  <c r="M8" i="1"/>
  <c r="N8" i="1"/>
  <c r="L20" i="1"/>
  <c r="O56" i="1"/>
  <c r="P45" i="1"/>
  <c r="Q15" i="1"/>
  <c r="Q61" i="1"/>
  <c r="M61" i="1"/>
  <c r="R61" i="1"/>
  <c r="Q49" i="1"/>
  <c r="M49" i="1"/>
  <c r="R49" i="1"/>
  <c r="Q43" i="1"/>
  <c r="M43" i="1"/>
  <c r="R43" i="1"/>
  <c r="Q37" i="1"/>
  <c r="M37" i="1"/>
  <c r="R37" i="1"/>
  <c r="Q31" i="1"/>
  <c r="M31" i="1"/>
  <c r="R31" i="1"/>
  <c r="Q13" i="1"/>
  <c r="M13" i="1"/>
  <c r="R13" i="1"/>
  <c r="L69" i="1"/>
  <c r="L55" i="1"/>
  <c r="L33" i="1"/>
  <c r="M63" i="1"/>
  <c r="M27" i="1"/>
  <c r="M9" i="1"/>
  <c r="P68" i="1"/>
  <c r="O61" i="1"/>
  <c r="P50" i="1"/>
  <c r="O43" i="1"/>
  <c r="P3" i="1"/>
  <c r="L68" i="1"/>
  <c r="L61" i="1"/>
  <c r="L39" i="1"/>
  <c r="L25" i="1"/>
  <c r="L9" i="1"/>
  <c r="R69" i="1"/>
  <c r="O68" i="1"/>
  <c r="Q62" i="1"/>
  <c r="N61" i="1"/>
  <c r="P57" i="1"/>
  <c r="P55" i="1"/>
  <c r="R51" i="1"/>
  <c r="O50" i="1"/>
  <c r="Q44" i="1"/>
  <c r="N43" i="1"/>
  <c r="P38" i="1"/>
  <c r="R33" i="1"/>
  <c r="P31" i="1"/>
  <c r="Q26" i="1"/>
  <c r="R21" i="1"/>
  <c r="P19" i="1"/>
  <c r="Q14" i="1"/>
  <c r="R9" i="1"/>
  <c r="P7" i="1"/>
  <c r="O71" i="1"/>
  <c r="P71" i="1"/>
  <c r="O65" i="1"/>
  <c r="P65" i="1"/>
  <c r="O59" i="1"/>
  <c r="P59" i="1"/>
  <c r="O53" i="1"/>
  <c r="P53" i="1"/>
  <c r="O47" i="1"/>
  <c r="P47" i="1"/>
  <c r="O41" i="1"/>
  <c r="P41" i="1"/>
  <c r="Q41" i="1"/>
  <c r="O35" i="1"/>
  <c r="P35" i="1"/>
  <c r="Q35" i="1"/>
  <c r="O29" i="1"/>
  <c r="P29" i="1"/>
  <c r="Q29" i="1"/>
  <c r="O23" i="1"/>
  <c r="P23" i="1"/>
  <c r="Q23" i="1"/>
  <c r="O17" i="1"/>
  <c r="P17" i="1"/>
  <c r="Q17" i="1"/>
  <c r="O11" i="1"/>
  <c r="P11" i="1"/>
  <c r="L11" i="1"/>
  <c r="Q11" i="1"/>
  <c r="O5" i="1"/>
  <c r="L5" i="1"/>
  <c r="P5" i="1"/>
  <c r="Q5" i="1"/>
  <c r="Q3" i="1"/>
  <c r="L67" i="1"/>
  <c r="L53" i="1"/>
  <c r="L45" i="1"/>
  <c r="L38" i="1"/>
  <c r="L31" i="1"/>
  <c r="L17" i="1"/>
  <c r="L8" i="1"/>
  <c r="M69" i="1"/>
  <c r="M59" i="1"/>
  <c r="M51" i="1"/>
  <c r="M41" i="1"/>
  <c r="M33" i="1"/>
  <c r="M23" i="1"/>
  <c r="M15" i="1"/>
  <c r="M5" i="1"/>
  <c r="Q71" i="1"/>
  <c r="Q69" i="1"/>
  <c r="N68" i="1"/>
  <c r="P62" i="1"/>
  <c r="O57" i="1"/>
  <c r="O55" i="1"/>
  <c r="Q53" i="1"/>
  <c r="Q51" i="1"/>
  <c r="N50" i="1"/>
  <c r="P44" i="1"/>
  <c r="O38" i="1"/>
  <c r="Q33" i="1"/>
  <c r="O31" i="1"/>
  <c r="P26" i="1"/>
  <c r="Q21" i="1"/>
  <c r="O19" i="1"/>
  <c r="P14" i="1"/>
  <c r="Q9" i="1"/>
  <c r="O7" i="1"/>
  <c r="N70" i="1"/>
  <c r="L70" i="1"/>
  <c r="O70" i="1"/>
  <c r="N64" i="1"/>
  <c r="L64" i="1"/>
  <c r="O64" i="1"/>
  <c r="N58" i="1"/>
  <c r="L58" i="1"/>
  <c r="O58" i="1"/>
  <c r="N52" i="1"/>
  <c r="L52" i="1"/>
  <c r="O52" i="1"/>
  <c r="N46" i="1"/>
  <c r="L46" i="1"/>
  <c r="O46" i="1"/>
  <c r="N40" i="1"/>
  <c r="L40" i="1"/>
  <c r="O40" i="1"/>
  <c r="P40" i="1"/>
  <c r="N34" i="1"/>
  <c r="L34" i="1"/>
  <c r="O34" i="1"/>
  <c r="P34" i="1"/>
  <c r="N28" i="1"/>
  <c r="L28" i="1"/>
  <c r="O28" i="1"/>
  <c r="P28" i="1"/>
  <c r="N22" i="1"/>
  <c r="L22" i="1"/>
  <c r="O22" i="1"/>
  <c r="P22" i="1"/>
  <c r="N16" i="1"/>
  <c r="L16" i="1"/>
  <c r="O16" i="1"/>
  <c r="P16" i="1"/>
  <c r="N10" i="1"/>
  <c r="L10" i="1"/>
  <c r="O10" i="1"/>
  <c r="P10" i="1"/>
  <c r="N4" i="1"/>
  <c r="L4" i="1"/>
  <c r="O4" i="1"/>
  <c r="P4" i="1"/>
  <c r="R3" i="1"/>
  <c r="L59" i="1"/>
  <c r="L51" i="1"/>
  <c r="L44" i="1"/>
  <c r="L37" i="1"/>
  <c r="L23" i="1"/>
  <c r="L15" i="1"/>
  <c r="L7" i="1"/>
  <c r="M58" i="1"/>
  <c r="M40" i="1"/>
  <c r="M22" i="1"/>
  <c r="M4" i="1"/>
  <c r="N71" i="1"/>
  <c r="P69" i="1"/>
  <c r="P67" i="1"/>
  <c r="R65" i="1"/>
  <c r="R63" i="1"/>
  <c r="O62" i="1"/>
  <c r="Q58" i="1"/>
  <c r="Q56" i="1"/>
  <c r="N55" i="1"/>
  <c r="N53" i="1"/>
  <c r="P51" i="1"/>
  <c r="P49" i="1"/>
  <c r="R47" i="1"/>
  <c r="R45" i="1"/>
  <c r="O44" i="1"/>
  <c r="R39" i="1"/>
  <c r="P37" i="1"/>
  <c r="R35" i="1"/>
  <c r="P33" i="1"/>
  <c r="N31" i="1"/>
  <c r="Q28" i="1"/>
  <c r="O26" i="1"/>
  <c r="R23" i="1"/>
  <c r="P21" i="1"/>
  <c r="N19" i="1"/>
  <c r="Q16" i="1"/>
  <c r="O14" i="1"/>
  <c r="R11" i="1"/>
  <c r="P9" i="1"/>
  <c r="N7" i="1"/>
  <c r="Q4" i="1"/>
  <c r="R30" i="1"/>
  <c r="R24" i="1"/>
  <c r="R18" i="1"/>
  <c r="R12" i="1"/>
  <c r="R6" i="1"/>
  <c r="Q72" i="1"/>
  <c r="Q66" i="1"/>
  <c r="Q60" i="1"/>
  <c r="Q54" i="1"/>
  <c r="Q48" i="1"/>
  <c r="Q42" i="1"/>
  <c r="Q36" i="1"/>
  <c r="Q30" i="1"/>
  <c r="Q24" i="1"/>
  <c r="Q18" i="1"/>
  <c r="Q12" i="1"/>
  <c r="Q6" i="1"/>
</calcChain>
</file>

<file path=xl/sharedStrings.xml><?xml version="1.0" encoding="utf-8"?>
<sst xmlns="http://schemas.openxmlformats.org/spreadsheetml/2006/main" count="156" uniqueCount="79">
  <si>
    <t>Sathyamurthy</t>
  </si>
  <si>
    <t>Hayashi</t>
  </si>
  <si>
    <t>Haring</t>
  </si>
  <si>
    <t>Rosenberg</t>
  </si>
  <si>
    <t>Zeisel</t>
  </si>
  <si>
    <t>Baek</t>
  </si>
  <si>
    <t>MN-alpha</t>
  </si>
  <si>
    <t>MN-gamma</t>
  </si>
  <si>
    <t>PGC</t>
  </si>
  <si>
    <t>CSF-cN</t>
  </si>
  <si>
    <t>Excit-1</t>
  </si>
  <si>
    <t>Excit-2</t>
  </si>
  <si>
    <t>Excit-3</t>
  </si>
  <si>
    <t>Excit-4</t>
  </si>
  <si>
    <t>Excit-5</t>
  </si>
  <si>
    <t>Excit-6</t>
  </si>
  <si>
    <t>Excit-7</t>
  </si>
  <si>
    <t>Excit-8</t>
  </si>
  <si>
    <t>Excit-9</t>
  </si>
  <si>
    <t>Excit-10</t>
  </si>
  <si>
    <t>Excit-11</t>
  </si>
  <si>
    <t>Excit-12</t>
  </si>
  <si>
    <t>Excit-13</t>
  </si>
  <si>
    <t>Excit-14</t>
  </si>
  <si>
    <t>Excit-15</t>
  </si>
  <si>
    <t>Excit-16</t>
  </si>
  <si>
    <t>Excit-17</t>
  </si>
  <si>
    <t>Excit-18</t>
  </si>
  <si>
    <t>Excit-19</t>
  </si>
  <si>
    <t>Excit-20</t>
  </si>
  <si>
    <t>Inhib-1</t>
  </si>
  <si>
    <t>Inhib-2</t>
  </si>
  <si>
    <t>Inhib-3</t>
  </si>
  <si>
    <t>Inhib-4</t>
  </si>
  <si>
    <t>Inhib-5</t>
  </si>
  <si>
    <t>Inhib-6</t>
  </si>
  <si>
    <t>Inhib-7</t>
  </si>
  <si>
    <t>Inhib-8</t>
  </si>
  <si>
    <t>Inhib-9</t>
  </si>
  <si>
    <t>Inhib-10</t>
  </si>
  <si>
    <t>Inhib-11</t>
  </si>
  <si>
    <t>Inhib-12</t>
  </si>
  <si>
    <t>Inhib-13</t>
  </si>
  <si>
    <t>Inhib-14</t>
  </si>
  <si>
    <t>Excit-21</t>
  </si>
  <si>
    <t>Excit-22</t>
  </si>
  <si>
    <t>Excit-23</t>
  </si>
  <si>
    <t>Excit-24</t>
  </si>
  <si>
    <t>Excit-25</t>
  </si>
  <si>
    <t>Excit-26</t>
  </si>
  <si>
    <t>Excit-27</t>
  </si>
  <si>
    <t>Excit-28</t>
  </si>
  <si>
    <t>Excit-29</t>
  </si>
  <si>
    <t>Excit-30</t>
  </si>
  <si>
    <t>Inhib-15</t>
  </si>
  <si>
    <t>Inhib-16</t>
  </si>
  <si>
    <t>Inhib-17</t>
  </si>
  <si>
    <t>Inhib-18</t>
  </si>
  <si>
    <t>Inhib-19</t>
  </si>
  <si>
    <t>Inhib-20</t>
  </si>
  <si>
    <t>Inhib-21</t>
  </si>
  <si>
    <t>Excit-31</t>
  </si>
  <si>
    <t>Excit-32</t>
  </si>
  <si>
    <t>Excit-33</t>
  </si>
  <si>
    <t>Excit-34</t>
  </si>
  <si>
    <t>Excit-35</t>
  </si>
  <si>
    <t>Excit-36</t>
  </si>
  <si>
    <t>Excit-37</t>
  </si>
  <si>
    <t>Excit-38</t>
  </si>
  <si>
    <t>Inhib-22</t>
  </si>
  <si>
    <t>Inhib-23</t>
  </si>
  <si>
    <t>Inhib-24</t>
  </si>
  <si>
    <t>Inhib-25</t>
  </si>
  <si>
    <t>Inhib-26</t>
  </si>
  <si>
    <t>Inhib-27</t>
  </si>
  <si>
    <t>TOTAL</t>
  </si>
  <si>
    <t>Absolute #s of Cells/Nuclei per Cluster</t>
  </si>
  <si>
    <t>total</t>
  </si>
  <si>
    <t>Cluster % Composition per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</si>
</sst>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2" borderId="6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167" fontId="0" fillId="2" borderId="2" xfId="0" applyNumberFormat="1" applyFill="1" applyBorder="1" applyAlignment="1">
      <alignment horizontal="center"/>
    </xf>
    <xf numFmtId="167" fontId="0" fillId="2" borderId="3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99F2"/>
      <color rgb="FFE87168"/>
      <color rgb="FFEB5EE1"/>
      <color rgb="FF4FB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719F-CEA2-9F43-8BD5-2F34E13B2FAD}">
  <dimension ref="A1:R75"/>
  <sheetViews>
    <sheetView tabSelected="1" topLeftCell="B49" zoomScale="94" zoomScaleNormal="94" workbookViewId="0">
      <selection activeCell="I56" sqref="I56"/>
    </sheetView>
  </sheetViews>
  <sheetFormatPr baseColWidth="10" defaultRowHeight="16" x14ac:dyDescent="0.2"/>
  <cols>
    <col min="1" max="1" width="10.83203125" customWidth="1"/>
    <col min="2" max="7" width="14.5" style="4" customWidth="1"/>
    <col min="8" max="11" width="10.83203125" style="4"/>
    <col min="12" max="17" width="15.1640625" style="4" customWidth="1"/>
    <col min="18" max="18" width="10.83203125" style="4"/>
  </cols>
  <sheetData>
    <row r="1" spans="1:18" s="16" customFormat="1" ht="52" customHeight="1" thickBot="1" x14ac:dyDescent="0.25">
      <c r="A1" s="22" t="s">
        <v>76</v>
      </c>
      <c r="B1" s="22"/>
      <c r="C1" s="22"/>
      <c r="D1" s="22"/>
      <c r="E1" s="22"/>
      <c r="F1" s="22"/>
      <c r="G1" s="22"/>
      <c r="H1" s="23"/>
      <c r="I1" s="15"/>
      <c r="J1" s="15"/>
      <c r="K1" s="21" t="s">
        <v>78</v>
      </c>
      <c r="L1" s="22"/>
      <c r="M1" s="22"/>
      <c r="N1" s="22"/>
      <c r="O1" s="22"/>
      <c r="P1" s="22"/>
      <c r="Q1" s="22"/>
      <c r="R1" s="22"/>
    </row>
    <row r="2" spans="1:18" ht="17" thickBot="1" x14ac:dyDescent="0.25">
      <c r="A2" s="1"/>
      <c r="B2" s="18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20" t="s">
        <v>5</v>
      </c>
      <c r="H2" s="17" t="s">
        <v>77</v>
      </c>
      <c r="I2" s="17"/>
      <c r="J2" s="17"/>
      <c r="L2" s="5" t="s">
        <v>0</v>
      </c>
      <c r="M2" s="6" t="s">
        <v>1</v>
      </c>
      <c r="N2" s="6" t="s">
        <v>2</v>
      </c>
      <c r="O2" s="6" t="s">
        <v>3</v>
      </c>
      <c r="P2" s="6" t="s">
        <v>4</v>
      </c>
      <c r="Q2" s="7" t="s">
        <v>5</v>
      </c>
      <c r="R2" s="17" t="s">
        <v>77</v>
      </c>
    </row>
    <row r="3" spans="1:18" x14ac:dyDescent="0.2">
      <c r="A3" s="8" t="s">
        <v>6</v>
      </c>
      <c r="B3" s="2">
        <v>28</v>
      </c>
      <c r="C3" s="2">
        <v>0</v>
      </c>
      <c r="D3" s="2">
        <v>0</v>
      </c>
      <c r="E3" s="2">
        <v>209</v>
      </c>
      <c r="F3" s="2">
        <v>0</v>
      </c>
      <c r="G3" s="2">
        <v>0</v>
      </c>
      <c r="H3" s="3">
        <f>SUM(B3:G3)</f>
        <v>237</v>
      </c>
      <c r="I3" s="3"/>
      <c r="J3" s="3"/>
      <c r="K3" s="8" t="s">
        <v>6</v>
      </c>
      <c r="L3" s="14">
        <f>100*B3/H3</f>
        <v>11.814345991561181</v>
      </c>
      <c r="M3" s="14">
        <f>100*C3/H3</f>
        <v>0</v>
      </c>
      <c r="N3" s="14">
        <f>100*D3/H3</f>
        <v>0</v>
      </c>
      <c r="O3" s="14">
        <f>100*E3/H3</f>
        <v>88.185654008438817</v>
      </c>
      <c r="P3" s="14">
        <f>100*F3/H3</f>
        <v>0</v>
      </c>
      <c r="Q3" s="14">
        <f>100*G3/H3</f>
        <v>0</v>
      </c>
      <c r="R3" s="4">
        <f>100*H3/H3</f>
        <v>100</v>
      </c>
    </row>
    <row r="4" spans="1:18" x14ac:dyDescent="0.2">
      <c r="A4" s="9" t="s">
        <v>7</v>
      </c>
      <c r="B4" s="2">
        <v>12</v>
      </c>
      <c r="C4" s="2">
        <v>0</v>
      </c>
      <c r="D4" s="2">
        <v>0</v>
      </c>
      <c r="E4" s="2">
        <v>76</v>
      </c>
      <c r="F4" s="2">
        <v>0</v>
      </c>
      <c r="G4" s="2">
        <v>0</v>
      </c>
      <c r="H4" s="3">
        <f t="shared" ref="H4:H67" si="0">SUM(B4:G4)</f>
        <v>88</v>
      </c>
      <c r="I4" s="3"/>
      <c r="J4" s="3"/>
      <c r="K4" s="9" t="s">
        <v>7</v>
      </c>
      <c r="L4" s="14">
        <f t="shared" ref="L4:L67" si="1">100*B4/H4</f>
        <v>13.636363636363637</v>
      </c>
      <c r="M4" s="14">
        <f t="shared" ref="M4:M67" si="2">100*C4/H4</f>
        <v>0</v>
      </c>
      <c r="N4" s="14">
        <f t="shared" ref="N4:N67" si="3">100*D4/H4</f>
        <v>0</v>
      </c>
      <c r="O4" s="14">
        <f t="shared" ref="O4:O67" si="4">100*E4/H4</f>
        <v>86.36363636363636</v>
      </c>
      <c r="P4" s="14">
        <f t="shared" ref="P4:P67" si="5">100*F4/H4</f>
        <v>0</v>
      </c>
      <c r="Q4" s="14">
        <f t="shared" ref="Q4:Q67" si="6">100*G4/H4</f>
        <v>0</v>
      </c>
      <c r="R4" s="4">
        <f t="shared" ref="R4:R67" si="7">100*H4/H4</f>
        <v>100</v>
      </c>
    </row>
    <row r="5" spans="1:18" ht="15" customHeight="1" x14ac:dyDescent="0.2">
      <c r="A5" s="9" t="s">
        <v>8</v>
      </c>
      <c r="B5" s="2">
        <v>9</v>
      </c>
      <c r="C5" s="2">
        <v>0</v>
      </c>
      <c r="D5" s="2">
        <v>0</v>
      </c>
      <c r="E5" s="2">
        <v>77</v>
      </c>
      <c r="F5" s="2">
        <v>0</v>
      </c>
      <c r="G5" s="2">
        <v>0</v>
      </c>
      <c r="H5" s="3">
        <f t="shared" si="0"/>
        <v>86</v>
      </c>
      <c r="I5" s="3"/>
      <c r="J5" s="3"/>
      <c r="K5" s="9" t="s">
        <v>8</v>
      </c>
      <c r="L5" s="14">
        <f t="shared" si="1"/>
        <v>10.465116279069768</v>
      </c>
      <c r="M5" s="14">
        <f t="shared" si="2"/>
        <v>0</v>
      </c>
      <c r="N5" s="14">
        <f t="shared" si="3"/>
        <v>0</v>
      </c>
      <c r="O5" s="14">
        <f t="shared" si="4"/>
        <v>89.534883720930239</v>
      </c>
      <c r="P5" s="14">
        <f t="shared" si="5"/>
        <v>0</v>
      </c>
      <c r="Q5" s="14">
        <f t="shared" si="6"/>
        <v>0</v>
      </c>
      <c r="R5" s="4">
        <f t="shared" si="7"/>
        <v>100</v>
      </c>
    </row>
    <row r="6" spans="1:18" x14ac:dyDescent="0.2">
      <c r="A6" s="9" t="s">
        <v>9</v>
      </c>
      <c r="B6" s="2">
        <v>31</v>
      </c>
      <c r="C6" s="2">
        <v>0</v>
      </c>
      <c r="D6" s="2">
        <v>3</v>
      </c>
      <c r="E6" s="2">
        <v>71</v>
      </c>
      <c r="F6" s="2">
        <v>20</v>
      </c>
      <c r="G6" s="2">
        <v>1</v>
      </c>
      <c r="H6" s="3">
        <f t="shared" si="0"/>
        <v>126</v>
      </c>
      <c r="I6" s="3"/>
      <c r="J6" s="3"/>
      <c r="K6" s="9" t="s">
        <v>9</v>
      </c>
      <c r="L6" s="14">
        <f t="shared" si="1"/>
        <v>24.603174603174605</v>
      </c>
      <c r="M6" s="14">
        <f t="shared" si="2"/>
        <v>0</v>
      </c>
      <c r="N6" s="14">
        <f t="shared" si="3"/>
        <v>2.3809523809523809</v>
      </c>
      <c r="O6" s="14">
        <f t="shared" si="4"/>
        <v>56.349206349206348</v>
      </c>
      <c r="P6" s="14">
        <f t="shared" si="5"/>
        <v>15.873015873015873</v>
      </c>
      <c r="Q6" s="14">
        <f t="shared" si="6"/>
        <v>0.79365079365079361</v>
      </c>
      <c r="R6" s="4">
        <f t="shared" si="7"/>
        <v>100</v>
      </c>
    </row>
    <row r="7" spans="1:18" x14ac:dyDescent="0.2">
      <c r="A7" s="9" t="s">
        <v>10</v>
      </c>
      <c r="B7" s="2">
        <v>93</v>
      </c>
      <c r="C7" s="2">
        <v>0</v>
      </c>
      <c r="D7" s="2">
        <v>12</v>
      </c>
      <c r="E7" s="2">
        <v>139</v>
      </c>
      <c r="F7" s="2">
        <v>22</v>
      </c>
      <c r="G7" s="2">
        <v>0</v>
      </c>
      <c r="H7" s="3">
        <f t="shared" si="0"/>
        <v>266</v>
      </c>
      <c r="I7" s="3"/>
      <c r="J7" s="3"/>
      <c r="K7" s="9" t="s">
        <v>10</v>
      </c>
      <c r="L7" s="14">
        <f t="shared" si="1"/>
        <v>34.962406015037594</v>
      </c>
      <c r="M7" s="14">
        <f t="shared" si="2"/>
        <v>0</v>
      </c>
      <c r="N7" s="14">
        <f t="shared" si="3"/>
        <v>4.511278195488722</v>
      </c>
      <c r="O7" s="14">
        <f t="shared" si="4"/>
        <v>52.255639097744364</v>
      </c>
      <c r="P7" s="14">
        <f t="shared" si="5"/>
        <v>8.2706766917293226</v>
      </c>
      <c r="Q7" s="14">
        <f t="shared" si="6"/>
        <v>0</v>
      </c>
      <c r="R7" s="4">
        <f t="shared" si="7"/>
        <v>100</v>
      </c>
    </row>
    <row r="8" spans="1:18" x14ac:dyDescent="0.2">
      <c r="A8" s="9" t="s">
        <v>11</v>
      </c>
      <c r="B8" s="2">
        <v>37</v>
      </c>
      <c r="C8" s="2">
        <v>0</v>
      </c>
      <c r="D8" s="2">
        <v>14</v>
      </c>
      <c r="E8" s="2">
        <v>60</v>
      </c>
      <c r="F8" s="2">
        <v>6</v>
      </c>
      <c r="G8" s="2">
        <v>0</v>
      </c>
      <c r="H8" s="3">
        <f t="shared" si="0"/>
        <v>117</v>
      </c>
      <c r="I8" s="3"/>
      <c r="J8" s="3"/>
      <c r="K8" s="9" t="s">
        <v>11</v>
      </c>
      <c r="L8" s="14">
        <f t="shared" si="1"/>
        <v>31.623931623931625</v>
      </c>
      <c r="M8" s="14">
        <f t="shared" si="2"/>
        <v>0</v>
      </c>
      <c r="N8" s="14">
        <f t="shared" si="3"/>
        <v>11.965811965811966</v>
      </c>
      <c r="O8" s="14">
        <f t="shared" si="4"/>
        <v>51.282051282051285</v>
      </c>
      <c r="P8" s="14">
        <f t="shared" si="5"/>
        <v>5.1282051282051286</v>
      </c>
      <c r="Q8" s="14">
        <f t="shared" si="6"/>
        <v>0</v>
      </c>
      <c r="R8" s="4">
        <f t="shared" si="7"/>
        <v>100</v>
      </c>
    </row>
    <row r="9" spans="1:18" x14ac:dyDescent="0.2">
      <c r="A9" s="9" t="s">
        <v>12</v>
      </c>
      <c r="B9" s="2">
        <v>111</v>
      </c>
      <c r="C9" s="2">
        <v>2</v>
      </c>
      <c r="D9" s="2">
        <v>25</v>
      </c>
      <c r="E9" s="2">
        <v>131</v>
      </c>
      <c r="F9" s="2">
        <v>54</v>
      </c>
      <c r="G9" s="2">
        <v>0</v>
      </c>
      <c r="H9" s="3">
        <f t="shared" si="0"/>
        <v>323</v>
      </c>
      <c r="I9" s="3"/>
      <c r="J9" s="3"/>
      <c r="K9" s="9" t="s">
        <v>12</v>
      </c>
      <c r="L9" s="14">
        <f t="shared" si="1"/>
        <v>34.365325077399383</v>
      </c>
      <c r="M9" s="14">
        <f t="shared" si="2"/>
        <v>0.61919504643962853</v>
      </c>
      <c r="N9" s="14">
        <f t="shared" si="3"/>
        <v>7.7399380804953557</v>
      </c>
      <c r="O9" s="14">
        <f t="shared" si="4"/>
        <v>40.557275541795669</v>
      </c>
      <c r="P9" s="14">
        <f t="shared" si="5"/>
        <v>16.71826625386997</v>
      </c>
      <c r="Q9" s="14">
        <f t="shared" si="6"/>
        <v>0</v>
      </c>
      <c r="R9" s="4">
        <f t="shared" si="7"/>
        <v>100</v>
      </c>
    </row>
    <row r="10" spans="1:18" x14ac:dyDescent="0.2">
      <c r="A10" s="9" t="s">
        <v>13</v>
      </c>
      <c r="B10" s="2">
        <v>148</v>
      </c>
      <c r="C10" s="2">
        <v>0</v>
      </c>
      <c r="D10" s="2">
        <v>13</v>
      </c>
      <c r="E10" s="2">
        <v>193</v>
      </c>
      <c r="F10" s="2">
        <v>40</v>
      </c>
      <c r="G10" s="2">
        <v>0</v>
      </c>
      <c r="H10" s="3">
        <f t="shared" si="0"/>
        <v>394</v>
      </c>
      <c r="I10" s="3"/>
      <c r="J10" s="3"/>
      <c r="K10" s="9" t="s">
        <v>13</v>
      </c>
      <c r="L10" s="14">
        <f t="shared" si="1"/>
        <v>37.56345177664975</v>
      </c>
      <c r="M10" s="14">
        <f t="shared" si="2"/>
        <v>0</v>
      </c>
      <c r="N10" s="14">
        <f t="shared" si="3"/>
        <v>3.2994923857868019</v>
      </c>
      <c r="O10" s="14">
        <f t="shared" si="4"/>
        <v>48.984771573604064</v>
      </c>
      <c r="P10" s="14">
        <f t="shared" si="5"/>
        <v>10.152284263959391</v>
      </c>
      <c r="Q10" s="14">
        <f t="shared" si="6"/>
        <v>0</v>
      </c>
      <c r="R10" s="4">
        <f t="shared" si="7"/>
        <v>100</v>
      </c>
    </row>
    <row r="11" spans="1:18" x14ac:dyDescent="0.2">
      <c r="A11" s="9" t="s">
        <v>14</v>
      </c>
      <c r="B11" s="2">
        <v>245</v>
      </c>
      <c r="C11" s="2">
        <v>0</v>
      </c>
      <c r="D11" s="2">
        <v>19</v>
      </c>
      <c r="E11" s="2">
        <v>289</v>
      </c>
      <c r="F11" s="2">
        <v>32</v>
      </c>
      <c r="G11" s="2">
        <v>0</v>
      </c>
      <c r="H11" s="3">
        <f t="shared" si="0"/>
        <v>585</v>
      </c>
      <c r="I11" s="3"/>
      <c r="J11" s="3"/>
      <c r="K11" s="9" t="s">
        <v>14</v>
      </c>
      <c r="L11" s="14">
        <f t="shared" si="1"/>
        <v>41.880341880341881</v>
      </c>
      <c r="M11" s="14">
        <f t="shared" si="2"/>
        <v>0</v>
      </c>
      <c r="N11" s="14">
        <f t="shared" si="3"/>
        <v>3.2478632478632479</v>
      </c>
      <c r="O11" s="14">
        <f t="shared" si="4"/>
        <v>49.401709401709404</v>
      </c>
      <c r="P11" s="14">
        <f t="shared" si="5"/>
        <v>5.4700854700854702</v>
      </c>
      <c r="Q11" s="14">
        <f t="shared" si="6"/>
        <v>0</v>
      </c>
      <c r="R11" s="4">
        <f t="shared" si="7"/>
        <v>100</v>
      </c>
    </row>
    <row r="12" spans="1:18" x14ac:dyDescent="0.2">
      <c r="A12" s="9" t="s">
        <v>15</v>
      </c>
      <c r="B12" s="2">
        <v>182</v>
      </c>
      <c r="C12" s="2">
        <v>1</v>
      </c>
      <c r="D12" s="2">
        <v>9</v>
      </c>
      <c r="E12" s="2">
        <v>194</v>
      </c>
      <c r="F12" s="2">
        <v>4</v>
      </c>
      <c r="G12" s="2">
        <v>0</v>
      </c>
      <c r="H12" s="3">
        <f t="shared" si="0"/>
        <v>390</v>
      </c>
      <c r="I12" s="3"/>
      <c r="J12" s="3"/>
      <c r="K12" s="9" t="s">
        <v>15</v>
      </c>
      <c r="L12" s="14">
        <f t="shared" si="1"/>
        <v>46.666666666666664</v>
      </c>
      <c r="M12" s="14">
        <f t="shared" si="2"/>
        <v>0.25641025641025639</v>
      </c>
      <c r="N12" s="14">
        <f t="shared" si="3"/>
        <v>2.3076923076923075</v>
      </c>
      <c r="O12" s="14">
        <f t="shared" si="4"/>
        <v>49.743589743589745</v>
      </c>
      <c r="P12" s="14">
        <f t="shared" si="5"/>
        <v>1.0256410256410255</v>
      </c>
      <c r="Q12" s="14">
        <f t="shared" si="6"/>
        <v>0</v>
      </c>
      <c r="R12" s="4">
        <f t="shared" si="7"/>
        <v>100</v>
      </c>
    </row>
    <row r="13" spans="1:18" x14ac:dyDescent="0.2">
      <c r="A13" s="9" t="s">
        <v>16</v>
      </c>
      <c r="B13" s="2">
        <v>0</v>
      </c>
      <c r="C13" s="2">
        <v>0</v>
      </c>
      <c r="D13" s="2">
        <v>0</v>
      </c>
      <c r="E13" s="2">
        <v>235</v>
      </c>
      <c r="F13" s="2">
        <v>0</v>
      </c>
      <c r="G13" s="2">
        <v>0</v>
      </c>
      <c r="H13" s="3">
        <f t="shared" si="0"/>
        <v>235</v>
      </c>
      <c r="I13" s="3"/>
      <c r="J13" s="3"/>
      <c r="K13" s="9" t="s">
        <v>16</v>
      </c>
      <c r="L13" s="14">
        <f t="shared" si="1"/>
        <v>0</v>
      </c>
      <c r="M13" s="14">
        <f t="shared" si="2"/>
        <v>0</v>
      </c>
      <c r="N13" s="14">
        <f t="shared" si="3"/>
        <v>0</v>
      </c>
      <c r="O13" s="14">
        <f t="shared" si="4"/>
        <v>100</v>
      </c>
      <c r="P13" s="14">
        <f t="shared" si="5"/>
        <v>0</v>
      </c>
      <c r="Q13" s="14">
        <f t="shared" si="6"/>
        <v>0</v>
      </c>
      <c r="R13" s="4">
        <f t="shared" si="7"/>
        <v>100</v>
      </c>
    </row>
    <row r="14" spans="1:18" x14ac:dyDescent="0.2">
      <c r="A14" s="9" t="s">
        <v>17</v>
      </c>
      <c r="B14" s="2">
        <v>111</v>
      </c>
      <c r="C14" s="2">
        <v>0</v>
      </c>
      <c r="D14" s="2">
        <v>22</v>
      </c>
      <c r="E14" s="2">
        <v>141</v>
      </c>
      <c r="F14" s="2">
        <v>22</v>
      </c>
      <c r="G14" s="2">
        <v>0</v>
      </c>
      <c r="H14" s="3">
        <f t="shared" si="0"/>
        <v>296</v>
      </c>
      <c r="I14" s="3"/>
      <c r="J14" s="3"/>
      <c r="K14" s="9" t="s">
        <v>17</v>
      </c>
      <c r="L14" s="14">
        <f t="shared" si="1"/>
        <v>37.5</v>
      </c>
      <c r="M14" s="14">
        <f t="shared" si="2"/>
        <v>0</v>
      </c>
      <c r="N14" s="14">
        <f t="shared" si="3"/>
        <v>7.4324324324324325</v>
      </c>
      <c r="O14" s="14">
        <f t="shared" si="4"/>
        <v>47.635135135135137</v>
      </c>
      <c r="P14" s="14">
        <f t="shared" si="5"/>
        <v>7.4324324324324325</v>
      </c>
      <c r="Q14" s="14">
        <f t="shared" si="6"/>
        <v>0</v>
      </c>
      <c r="R14" s="4">
        <f t="shared" si="7"/>
        <v>100</v>
      </c>
    </row>
    <row r="15" spans="1:18" x14ac:dyDescent="0.2">
      <c r="A15" s="9" t="s">
        <v>18</v>
      </c>
      <c r="B15" s="2">
        <v>99</v>
      </c>
      <c r="C15" s="2">
        <v>0</v>
      </c>
      <c r="D15" s="2">
        <v>20</v>
      </c>
      <c r="E15" s="2">
        <v>90</v>
      </c>
      <c r="F15" s="2">
        <v>70</v>
      </c>
      <c r="G15" s="2">
        <v>0</v>
      </c>
      <c r="H15" s="3">
        <f t="shared" si="0"/>
        <v>279</v>
      </c>
      <c r="I15" s="3"/>
      <c r="J15" s="3"/>
      <c r="K15" s="9" t="s">
        <v>18</v>
      </c>
      <c r="L15" s="14">
        <f t="shared" si="1"/>
        <v>35.483870967741936</v>
      </c>
      <c r="M15" s="14">
        <f t="shared" si="2"/>
        <v>0</v>
      </c>
      <c r="N15" s="14">
        <f t="shared" si="3"/>
        <v>7.1684587813620073</v>
      </c>
      <c r="O15" s="14">
        <f t="shared" si="4"/>
        <v>32.258064516129032</v>
      </c>
      <c r="P15" s="14">
        <f t="shared" si="5"/>
        <v>25.089605734767026</v>
      </c>
      <c r="Q15" s="14">
        <f t="shared" si="6"/>
        <v>0</v>
      </c>
      <c r="R15" s="4">
        <f t="shared" si="7"/>
        <v>100</v>
      </c>
    </row>
    <row r="16" spans="1:18" x14ac:dyDescent="0.2">
      <c r="A16" s="9" t="s">
        <v>19</v>
      </c>
      <c r="B16" s="2">
        <v>192</v>
      </c>
      <c r="C16" s="2">
        <v>1</v>
      </c>
      <c r="D16" s="2">
        <v>29</v>
      </c>
      <c r="E16" s="2">
        <v>311</v>
      </c>
      <c r="F16" s="2">
        <v>91</v>
      </c>
      <c r="G16" s="2">
        <v>0</v>
      </c>
      <c r="H16" s="3">
        <f t="shared" si="0"/>
        <v>624</v>
      </c>
      <c r="I16" s="3"/>
      <c r="J16" s="3"/>
      <c r="K16" s="9" t="s">
        <v>19</v>
      </c>
      <c r="L16" s="14">
        <f t="shared" si="1"/>
        <v>30.76923076923077</v>
      </c>
      <c r="M16" s="14">
        <f t="shared" si="2"/>
        <v>0.16025641025641027</v>
      </c>
      <c r="N16" s="14">
        <f t="shared" si="3"/>
        <v>4.6474358974358978</v>
      </c>
      <c r="O16" s="14">
        <f t="shared" si="4"/>
        <v>49.839743589743591</v>
      </c>
      <c r="P16" s="14">
        <f t="shared" si="5"/>
        <v>14.583333333333334</v>
      </c>
      <c r="Q16" s="14">
        <f t="shared" si="6"/>
        <v>0</v>
      </c>
      <c r="R16" s="4">
        <f t="shared" si="7"/>
        <v>100</v>
      </c>
    </row>
    <row r="17" spans="1:18" x14ac:dyDescent="0.2">
      <c r="A17" s="9" t="s">
        <v>20</v>
      </c>
      <c r="B17" s="2">
        <v>37</v>
      </c>
      <c r="C17" s="2">
        <v>0</v>
      </c>
      <c r="D17" s="2">
        <v>18</v>
      </c>
      <c r="E17" s="2">
        <v>96</v>
      </c>
      <c r="F17" s="2">
        <v>15</v>
      </c>
      <c r="G17" s="2">
        <v>0</v>
      </c>
      <c r="H17" s="3">
        <f t="shared" si="0"/>
        <v>166</v>
      </c>
      <c r="I17" s="3"/>
      <c r="J17" s="3"/>
      <c r="K17" s="9" t="s">
        <v>20</v>
      </c>
      <c r="L17" s="14">
        <f t="shared" si="1"/>
        <v>22.289156626506024</v>
      </c>
      <c r="M17" s="14">
        <f t="shared" si="2"/>
        <v>0</v>
      </c>
      <c r="N17" s="14">
        <f t="shared" si="3"/>
        <v>10.843373493975903</v>
      </c>
      <c r="O17" s="14">
        <f t="shared" si="4"/>
        <v>57.831325301204821</v>
      </c>
      <c r="P17" s="14">
        <f t="shared" si="5"/>
        <v>9.0361445783132535</v>
      </c>
      <c r="Q17" s="14">
        <f t="shared" si="6"/>
        <v>0</v>
      </c>
      <c r="R17" s="4">
        <f t="shared" si="7"/>
        <v>100</v>
      </c>
    </row>
    <row r="18" spans="1:18" x14ac:dyDescent="0.2">
      <c r="A18" s="9" t="s">
        <v>21</v>
      </c>
      <c r="B18" s="2">
        <v>67</v>
      </c>
      <c r="C18" s="2">
        <v>0</v>
      </c>
      <c r="D18" s="2">
        <v>12</v>
      </c>
      <c r="E18" s="2">
        <v>88</v>
      </c>
      <c r="F18" s="2">
        <v>12</v>
      </c>
      <c r="G18" s="2">
        <v>0</v>
      </c>
      <c r="H18" s="3">
        <f t="shared" si="0"/>
        <v>179</v>
      </c>
      <c r="I18" s="3"/>
      <c r="J18" s="3"/>
      <c r="K18" s="9" t="s">
        <v>21</v>
      </c>
      <c r="L18" s="14">
        <f t="shared" si="1"/>
        <v>37.430167597765362</v>
      </c>
      <c r="M18" s="14">
        <f t="shared" si="2"/>
        <v>0</v>
      </c>
      <c r="N18" s="14">
        <f t="shared" si="3"/>
        <v>6.7039106145251397</v>
      </c>
      <c r="O18" s="14">
        <f t="shared" si="4"/>
        <v>49.162011173184361</v>
      </c>
      <c r="P18" s="14">
        <f t="shared" si="5"/>
        <v>6.7039106145251397</v>
      </c>
      <c r="Q18" s="14">
        <f t="shared" si="6"/>
        <v>0</v>
      </c>
      <c r="R18" s="4">
        <f t="shared" si="7"/>
        <v>100</v>
      </c>
    </row>
    <row r="19" spans="1:18" x14ac:dyDescent="0.2">
      <c r="A19" s="9" t="s">
        <v>22</v>
      </c>
      <c r="B19" s="2">
        <v>46</v>
      </c>
      <c r="C19" s="2">
        <v>0</v>
      </c>
      <c r="D19" s="2">
        <v>18</v>
      </c>
      <c r="E19" s="2">
        <v>95</v>
      </c>
      <c r="F19" s="2">
        <v>15</v>
      </c>
      <c r="G19" s="2">
        <v>0</v>
      </c>
      <c r="H19" s="3">
        <f t="shared" si="0"/>
        <v>174</v>
      </c>
      <c r="I19" s="3"/>
      <c r="J19" s="3"/>
      <c r="K19" s="9" t="s">
        <v>22</v>
      </c>
      <c r="L19" s="14">
        <f t="shared" si="1"/>
        <v>26.436781609195403</v>
      </c>
      <c r="M19" s="14">
        <f t="shared" si="2"/>
        <v>0</v>
      </c>
      <c r="N19" s="14">
        <f t="shared" si="3"/>
        <v>10.344827586206897</v>
      </c>
      <c r="O19" s="14">
        <f t="shared" si="4"/>
        <v>54.597701149425291</v>
      </c>
      <c r="P19" s="14">
        <f t="shared" si="5"/>
        <v>8.6206896551724146</v>
      </c>
      <c r="Q19" s="14">
        <f t="shared" si="6"/>
        <v>0</v>
      </c>
      <c r="R19" s="4">
        <f t="shared" si="7"/>
        <v>100</v>
      </c>
    </row>
    <row r="20" spans="1:18" x14ac:dyDescent="0.2">
      <c r="A20" s="9" t="s">
        <v>23</v>
      </c>
      <c r="B20" s="2">
        <v>121</v>
      </c>
      <c r="C20" s="2">
        <v>0</v>
      </c>
      <c r="D20" s="2">
        <v>36</v>
      </c>
      <c r="E20" s="2">
        <v>221</v>
      </c>
      <c r="F20" s="2">
        <v>43</v>
      </c>
      <c r="G20" s="2">
        <v>0</v>
      </c>
      <c r="H20" s="3">
        <f t="shared" si="0"/>
        <v>421</v>
      </c>
      <c r="I20" s="3"/>
      <c r="J20" s="3"/>
      <c r="K20" s="9" t="s">
        <v>23</v>
      </c>
      <c r="L20" s="14">
        <f t="shared" si="1"/>
        <v>28.741092636579573</v>
      </c>
      <c r="M20" s="14">
        <f t="shared" si="2"/>
        <v>0</v>
      </c>
      <c r="N20" s="14">
        <f t="shared" si="3"/>
        <v>8.5510688836104514</v>
      </c>
      <c r="O20" s="14">
        <f t="shared" si="4"/>
        <v>52.494061757719713</v>
      </c>
      <c r="P20" s="14">
        <f t="shared" si="5"/>
        <v>10.213776722090261</v>
      </c>
      <c r="Q20" s="14">
        <f t="shared" si="6"/>
        <v>0</v>
      </c>
      <c r="R20" s="4">
        <f t="shared" si="7"/>
        <v>100</v>
      </c>
    </row>
    <row r="21" spans="1:18" x14ac:dyDescent="0.2">
      <c r="A21" s="9" t="s">
        <v>24</v>
      </c>
      <c r="B21" s="2">
        <v>63</v>
      </c>
      <c r="C21" s="2">
        <v>0</v>
      </c>
      <c r="D21" s="2">
        <v>36</v>
      </c>
      <c r="E21" s="2">
        <v>138</v>
      </c>
      <c r="F21" s="2">
        <v>37</v>
      </c>
      <c r="G21" s="2">
        <v>0</v>
      </c>
      <c r="H21" s="3">
        <f t="shared" si="0"/>
        <v>274</v>
      </c>
      <c r="I21" s="3"/>
      <c r="J21" s="3"/>
      <c r="K21" s="9" t="s">
        <v>24</v>
      </c>
      <c r="L21" s="14">
        <f t="shared" si="1"/>
        <v>22.992700729927009</v>
      </c>
      <c r="M21" s="14">
        <f t="shared" si="2"/>
        <v>0</v>
      </c>
      <c r="N21" s="14">
        <f t="shared" si="3"/>
        <v>13.138686131386862</v>
      </c>
      <c r="O21" s="14">
        <f t="shared" si="4"/>
        <v>50.364963503649633</v>
      </c>
      <c r="P21" s="14">
        <f t="shared" si="5"/>
        <v>13.503649635036496</v>
      </c>
      <c r="Q21" s="14">
        <f t="shared" si="6"/>
        <v>0</v>
      </c>
      <c r="R21" s="4">
        <f t="shared" si="7"/>
        <v>100</v>
      </c>
    </row>
    <row r="22" spans="1:18" x14ac:dyDescent="0.2">
      <c r="A22" s="9" t="s">
        <v>25</v>
      </c>
      <c r="B22" s="2">
        <v>233</v>
      </c>
      <c r="C22" s="2">
        <v>0</v>
      </c>
      <c r="D22" s="2">
        <v>75</v>
      </c>
      <c r="E22" s="2">
        <v>337</v>
      </c>
      <c r="F22" s="2">
        <v>76</v>
      </c>
      <c r="G22" s="2">
        <v>0</v>
      </c>
      <c r="H22" s="3">
        <f t="shared" si="0"/>
        <v>721</v>
      </c>
      <c r="I22" s="3"/>
      <c r="J22" s="3"/>
      <c r="K22" s="9" t="s">
        <v>25</v>
      </c>
      <c r="L22" s="14">
        <f t="shared" si="1"/>
        <v>32.316227461858531</v>
      </c>
      <c r="M22" s="14">
        <f t="shared" si="2"/>
        <v>0</v>
      </c>
      <c r="N22" s="14">
        <f t="shared" si="3"/>
        <v>10.402219140083218</v>
      </c>
      <c r="O22" s="14">
        <f t="shared" si="4"/>
        <v>46.740638002773927</v>
      </c>
      <c r="P22" s="14">
        <f t="shared" si="5"/>
        <v>10.540915395284328</v>
      </c>
      <c r="Q22" s="14">
        <f t="shared" si="6"/>
        <v>0</v>
      </c>
      <c r="R22" s="4">
        <f t="shared" si="7"/>
        <v>100</v>
      </c>
    </row>
    <row r="23" spans="1:18" x14ac:dyDescent="0.2">
      <c r="A23" s="9" t="s">
        <v>26</v>
      </c>
      <c r="B23" s="2">
        <v>0</v>
      </c>
      <c r="C23" s="2">
        <v>0</v>
      </c>
      <c r="D23" s="2">
        <v>2</v>
      </c>
      <c r="E23" s="2">
        <v>316</v>
      </c>
      <c r="F23" s="2">
        <v>0</v>
      </c>
      <c r="G23" s="2">
        <v>0</v>
      </c>
      <c r="H23" s="3">
        <f t="shared" si="0"/>
        <v>318</v>
      </c>
      <c r="I23" s="3"/>
      <c r="J23" s="3"/>
      <c r="K23" s="9" t="s">
        <v>26</v>
      </c>
      <c r="L23" s="14">
        <f t="shared" si="1"/>
        <v>0</v>
      </c>
      <c r="M23" s="14">
        <f t="shared" si="2"/>
        <v>0</v>
      </c>
      <c r="N23" s="14">
        <f t="shared" si="3"/>
        <v>0.62893081761006286</v>
      </c>
      <c r="O23" s="14">
        <f t="shared" si="4"/>
        <v>99.371069182389931</v>
      </c>
      <c r="P23" s="14">
        <f t="shared" si="5"/>
        <v>0</v>
      </c>
      <c r="Q23" s="14">
        <f t="shared" si="6"/>
        <v>0</v>
      </c>
      <c r="R23" s="4">
        <f t="shared" si="7"/>
        <v>100</v>
      </c>
    </row>
    <row r="24" spans="1:18" x14ac:dyDescent="0.2">
      <c r="A24" s="9" t="s">
        <v>27</v>
      </c>
      <c r="B24" s="2">
        <v>131</v>
      </c>
      <c r="C24" s="2">
        <v>2</v>
      </c>
      <c r="D24" s="2">
        <v>47</v>
      </c>
      <c r="E24" s="2">
        <v>192</v>
      </c>
      <c r="F24" s="2">
        <v>70</v>
      </c>
      <c r="G24" s="2">
        <v>0</v>
      </c>
      <c r="H24" s="3">
        <f t="shared" si="0"/>
        <v>442</v>
      </c>
      <c r="I24" s="3"/>
      <c r="J24" s="3"/>
      <c r="K24" s="9" t="s">
        <v>27</v>
      </c>
      <c r="L24" s="14">
        <f t="shared" si="1"/>
        <v>29.638009049773757</v>
      </c>
      <c r="M24" s="14">
        <f t="shared" si="2"/>
        <v>0.45248868778280543</v>
      </c>
      <c r="N24" s="14">
        <f t="shared" si="3"/>
        <v>10.633484162895927</v>
      </c>
      <c r="O24" s="14">
        <f t="shared" si="4"/>
        <v>43.438914027149323</v>
      </c>
      <c r="P24" s="14">
        <f t="shared" si="5"/>
        <v>15.837104072398191</v>
      </c>
      <c r="Q24" s="14">
        <f t="shared" si="6"/>
        <v>0</v>
      </c>
      <c r="R24" s="4">
        <f t="shared" si="7"/>
        <v>100</v>
      </c>
    </row>
    <row r="25" spans="1:18" x14ac:dyDescent="0.2">
      <c r="A25" s="9" t="s">
        <v>28</v>
      </c>
      <c r="B25" s="2">
        <v>152</v>
      </c>
      <c r="C25" s="2">
        <v>0</v>
      </c>
      <c r="D25" s="2">
        <v>49</v>
      </c>
      <c r="E25" s="2">
        <v>196</v>
      </c>
      <c r="F25" s="2">
        <v>56</v>
      </c>
      <c r="G25" s="2">
        <v>2</v>
      </c>
      <c r="H25" s="3">
        <f t="shared" si="0"/>
        <v>455</v>
      </c>
      <c r="I25" s="3"/>
      <c r="J25" s="3"/>
      <c r="K25" s="9" t="s">
        <v>28</v>
      </c>
      <c r="L25" s="14">
        <f t="shared" si="1"/>
        <v>33.406593406593409</v>
      </c>
      <c r="M25" s="14">
        <f t="shared" si="2"/>
        <v>0</v>
      </c>
      <c r="N25" s="14">
        <f t="shared" si="3"/>
        <v>10.76923076923077</v>
      </c>
      <c r="O25" s="14">
        <f t="shared" si="4"/>
        <v>43.07692307692308</v>
      </c>
      <c r="P25" s="14">
        <f t="shared" si="5"/>
        <v>12.307692307692308</v>
      </c>
      <c r="Q25" s="14">
        <f t="shared" si="6"/>
        <v>0.43956043956043955</v>
      </c>
      <c r="R25" s="4">
        <f t="shared" si="7"/>
        <v>100</v>
      </c>
    </row>
    <row r="26" spans="1:18" x14ac:dyDescent="0.2">
      <c r="A26" s="9" t="s">
        <v>29</v>
      </c>
      <c r="B26" s="2">
        <v>141</v>
      </c>
      <c r="C26" s="2">
        <v>0</v>
      </c>
      <c r="D26" s="2">
        <v>10</v>
      </c>
      <c r="E26" s="2">
        <v>322</v>
      </c>
      <c r="F26" s="2">
        <v>18</v>
      </c>
      <c r="G26" s="2">
        <v>0</v>
      </c>
      <c r="H26" s="3">
        <f t="shared" si="0"/>
        <v>491</v>
      </c>
      <c r="I26" s="3"/>
      <c r="J26" s="3"/>
      <c r="K26" s="9" t="s">
        <v>29</v>
      </c>
      <c r="L26" s="14">
        <f t="shared" si="1"/>
        <v>28.716904276985744</v>
      </c>
      <c r="M26" s="14">
        <f t="shared" si="2"/>
        <v>0</v>
      </c>
      <c r="N26" s="14">
        <f t="shared" si="3"/>
        <v>2.0366598778004072</v>
      </c>
      <c r="O26" s="14">
        <f t="shared" si="4"/>
        <v>65.580448065173115</v>
      </c>
      <c r="P26" s="14">
        <f t="shared" si="5"/>
        <v>3.6659877800407332</v>
      </c>
      <c r="Q26" s="14">
        <f t="shared" si="6"/>
        <v>0</v>
      </c>
      <c r="R26" s="4">
        <f t="shared" si="7"/>
        <v>100</v>
      </c>
    </row>
    <row r="27" spans="1:18" x14ac:dyDescent="0.2">
      <c r="A27" s="9" t="s">
        <v>30</v>
      </c>
      <c r="B27" s="2">
        <v>401</v>
      </c>
      <c r="C27" s="2">
        <v>2</v>
      </c>
      <c r="D27" s="2">
        <v>64</v>
      </c>
      <c r="E27" s="2">
        <v>410</v>
      </c>
      <c r="F27" s="2">
        <v>31</v>
      </c>
      <c r="G27" s="2">
        <v>0</v>
      </c>
      <c r="H27" s="3">
        <f t="shared" si="0"/>
        <v>908</v>
      </c>
      <c r="I27" s="3"/>
      <c r="J27" s="3"/>
      <c r="K27" s="9" t="s">
        <v>30</v>
      </c>
      <c r="L27" s="14">
        <f t="shared" si="1"/>
        <v>44.162995594713657</v>
      </c>
      <c r="M27" s="14">
        <f t="shared" si="2"/>
        <v>0.22026431718061673</v>
      </c>
      <c r="N27" s="14">
        <f t="shared" si="3"/>
        <v>7.0484581497797354</v>
      </c>
      <c r="O27" s="14">
        <f t="shared" si="4"/>
        <v>45.154185022026432</v>
      </c>
      <c r="P27" s="14">
        <f t="shared" si="5"/>
        <v>3.4140969162995596</v>
      </c>
      <c r="Q27" s="14">
        <f t="shared" si="6"/>
        <v>0</v>
      </c>
      <c r="R27" s="4">
        <f t="shared" si="7"/>
        <v>100</v>
      </c>
    </row>
    <row r="28" spans="1:18" x14ac:dyDescent="0.2">
      <c r="A28" s="9" t="s">
        <v>31</v>
      </c>
      <c r="B28" s="2">
        <v>232</v>
      </c>
      <c r="C28" s="2">
        <v>2</v>
      </c>
      <c r="D28" s="2">
        <v>73</v>
      </c>
      <c r="E28" s="2">
        <v>376</v>
      </c>
      <c r="F28" s="2">
        <v>44</v>
      </c>
      <c r="G28" s="2">
        <v>0</v>
      </c>
      <c r="H28" s="3">
        <f t="shared" si="0"/>
        <v>727</v>
      </c>
      <c r="I28" s="3"/>
      <c r="J28" s="3"/>
      <c r="K28" s="9" t="s">
        <v>31</v>
      </c>
      <c r="L28" s="14">
        <f t="shared" si="1"/>
        <v>31.911966987620357</v>
      </c>
      <c r="M28" s="14">
        <f t="shared" si="2"/>
        <v>0.27510316368638238</v>
      </c>
      <c r="N28" s="14">
        <f t="shared" si="3"/>
        <v>10.041265474552958</v>
      </c>
      <c r="O28" s="14">
        <f t="shared" si="4"/>
        <v>51.719394773039888</v>
      </c>
      <c r="P28" s="14">
        <f t="shared" si="5"/>
        <v>6.0522696011004129</v>
      </c>
      <c r="Q28" s="14">
        <f t="shared" si="6"/>
        <v>0</v>
      </c>
      <c r="R28" s="4">
        <f t="shared" si="7"/>
        <v>100</v>
      </c>
    </row>
    <row r="29" spans="1:18" x14ac:dyDescent="0.2">
      <c r="A29" s="9" t="s">
        <v>32</v>
      </c>
      <c r="B29" s="2">
        <v>52</v>
      </c>
      <c r="C29" s="2">
        <v>0</v>
      </c>
      <c r="D29" s="2">
        <v>23</v>
      </c>
      <c r="E29" s="2">
        <v>92</v>
      </c>
      <c r="F29" s="2">
        <v>48</v>
      </c>
      <c r="G29" s="2">
        <v>0</v>
      </c>
      <c r="H29" s="3">
        <f t="shared" si="0"/>
        <v>215</v>
      </c>
      <c r="I29" s="3"/>
      <c r="J29" s="3"/>
      <c r="K29" s="9" t="s">
        <v>32</v>
      </c>
      <c r="L29" s="14">
        <f t="shared" si="1"/>
        <v>24.186046511627907</v>
      </c>
      <c r="M29" s="14">
        <f t="shared" si="2"/>
        <v>0</v>
      </c>
      <c r="N29" s="14">
        <f t="shared" si="3"/>
        <v>10.697674418604651</v>
      </c>
      <c r="O29" s="14">
        <f t="shared" si="4"/>
        <v>42.790697674418603</v>
      </c>
      <c r="P29" s="14">
        <f t="shared" si="5"/>
        <v>22.325581395348838</v>
      </c>
      <c r="Q29" s="14">
        <f t="shared" si="6"/>
        <v>0</v>
      </c>
      <c r="R29" s="4">
        <f t="shared" si="7"/>
        <v>100</v>
      </c>
    </row>
    <row r="30" spans="1:18" x14ac:dyDescent="0.2">
      <c r="A30" s="9" t="s">
        <v>33</v>
      </c>
      <c r="B30" s="2">
        <v>46</v>
      </c>
      <c r="C30" s="2">
        <v>0</v>
      </c>
      <c r="D30" s="2">
        <v>27</v>
      </c>
      <c r="E30" s="2">
        <v>87</v>
      </c>
      <c r="F30" s="2">
        <v>22</v>
      </c>
      <c r="G30" s="2">
        <v>0</v>
      </c>
      <c r="H30" s="3">
        <f t="shared" si="0"/>
        <v>182</v>
      </c>
      <c r="I30" s="3"/>
      <c r="J30" s="3"/>
      <c r="K30" s="9" t="s">
        <v>33</v>
      </c>
      <c r="L30" s="14">
        <f t="shared" si="1"/>
        <v>25.274725274725274</v>
      </c>
      <c r="M30" s="14">
        <f t="shared" si="2"/>
        <v>0</v>
      </c>
      <c r="N30" s="14">
        <f t="shared" si="3"/>
        <v>14.835164835164836</v>
      </c>
      <c r="O30" s="14">
        <f t="shared" si="4"/>
        <v>47.802197802197803</v>
      </c>
      <c r="P30" s="14">
        <f t="shared" si="5"/>
        <v>12.087912087912088</v>
      </c>
      <c r="Q30" s="14">
        <f t="shared" si="6"/>
        <v>0</v>
      </c>
      <c r="R30" s="4">
        <f t="shared" si="7"/>
        <v>100</v>
      </c>
    </row>
    <row r="31" spans="1:18" x14ac:dyDescent="0.2">
      <c r="A31" s="9" t="s">
        <v>34</v>
      </c>
      <c r="B31" s="2">
        <v>60</v>
      </c>
      <c r="C31" s="2">
        <v>0</v>
      </c>
      <c r="D31" s="2">
        <v>15</v>
      </c>
      <c r="E31" s="2">
        <v>62</v>
      </c>
      <c r="F31" s="2">
        <v>13</v>
      </c>
      <c r="G31" s="2">
        <v>0</v>
      </c>
      <c r="H31" s="3">
        <f t="shared" si="0"/>
        <v>150</v>
      </c>
      <c r="I31" s="3"/>
      <c r="J31" s="3"/>
      <c r="K31" s="9" t="s">
        <v>34</v>
      </c>
      <c r="L31" s="14">
        <f t="shared" si="1"/>
        <v>40</v>
      </c>
      <c r="M31" s="14">
        <f t="shared" si="2"/>
        <v>0</v>
      </c>
      <c r="N31" s="14">
        <f t="shared" si="3"/>
        <v>10</v>
      </c>
      <c r="O31" s="14">
        <f t="shared" si="4"/>
        <v>41.333333333333336</v>
      </c>
      <c r="P31" s="14">
        <f t="shared" si="5"/>
        <v>8.6666666666666661</v>
      </c>
      <c r="Q31" s="14">
        <f t="shared" si="6"/>
        <v>0</v>
      </c>
      <c r="R31" s="4">
        <f t="shared" si="7"/>
        <v>100</v>
      </c>
    </row>
    <row r="32" spans="1:18" x14ac:dyDescent="0.2">
      <c r="A32" s="9" t="s">
        <v>35</v>
      </c>
      <c r="B32" s="2">
        <v>112</v>
      </c>
      <c r="C32" s="2">
        <v>1</v>
      </c>
      <c r="D32" s="2">
        <v>26</v>
      </c>
      <c r="E32" s="2">
        <v>137</v>
      </c>
      <c r="F32" s="2">
        <v>6</v>
      </c>
      <c r="G32" s="2">
        <v>1</v>
      </c>
      <c r="H32" s="3">
        <f t="shared" si="0"/>
        <v>283</v>
      </c>
      <c r="I32" s="3"/>
      <c r="J32" s="3"/>
      <c r="K32" s="9" t="s">
        <v>35</v>
      </c>
      <c r="L32" s="14">
        <f t="shared" si="1"/>
        <v>39.57597173144876</v>
      </c>
      <c r="M32" s="14">
        <f t="shared" si="2"/>
        <v>0.35335689045936397</v>
      </c>
      <c r="N32" s="14">
        <f t="shared" si="3"/>
        <v>9.1872791519434625</v>
      </c>
      <c r="O32" s="14">
        <f t="shared" si="4"/>
        <v>48.409893992932865</v>
      </c>
      <c r="P32" s="14">
        <f t="shared" si="5"/>
        <v>2.1201413427561837</v>
      </c>
      <c r="Q32" s="14">
        <f t="shared" si="6"/>
        <v>0.35335689045936397</v>
      </c>
      <c r="R32" s="4">
        <f t="shared" si="7"/>
        <v>100</v>
      </c>
    </row>
    <row r="33" spans="1:18" x14ac:dyDescent="0.2">
      <c r="A33" s="9" t="s">
        <v>36</v>
      </c>
      <c r="B33" s="2">
        <v>121</v>
      </c>
      <c r="C33" s="2">
        <v>1</v>
      </c>
      <c r="D33" s="2">
        <v>34</v>
      </c>
      <c r="E33" s="2">
        <v>184</v>
      </c>
      <c r="F33" s="2">
        <v>13</v>
      </c>
      <c r="G33" s="2">
        <v>0</v>
      </c>
      <c r="H33" s="3">
        <f t="shared" si="0"/>
        <v>353</v>
      </c>
      <c r="I33" s="3"/>
      <c r="J33" s="3"/>
      <c r="K33" s="9" t="s">
        <v>36</v>
      </c>
      <c r="L33" s="14">
        <f t="shared" si="1"/>
        <v>34.277620396600568</v>
      </c>
      <c r="M33" s="14">
        <f t="shared" si="2"/>
        <v>0.28328611898016998</v>
      </c>
      <c r="N33" s="14">
        <f t="shared" si="3"/>
        <v>9.6317280453257794</v>
      </c>
      <c r="O33" s="14">
        <f t="shared" si="4"/>
        <v>52.124645892351275</v>
      </c>
      <c r="P33" s="14">
        <f t="shared" si="5"/>
        <v>3.6827195467422098</v>
      </c>
      <c r="Q33" s="14">
        <f t="shared" si="6"/>
        <v>0</v>
      </c>
      <c r="R33" s="4">
        <f t="shared" si="7"/>
        <v>100</v>
      </c>
    </row>
    <row r="34" spans="1:18" x14ac:dyDescent="0.2">
      <c r="A34" s="9" t="s">
        <v>37</v>
      </c>
      <c r="B34" s="2">
        <v>40</v>
      </c>
      <c r="C34" s="2">
        <v>0</v>
      </c>
      <c r="D34" s="2">
        <v>3</v>
      </c>
      <c r="E34" s="2">
        <v>108</v>
      </c>
      <c r="F34" s="2">
        <v>2</v>
      </c>
      <c r="G34" s="2">
        <v>0</v>
      </c>
      <c r="H34" s="3">
        <f t="shared" si="0"/>
        <v>153</v>
      </c>
      <c r="I34" s="3"/>
      <c r="J34" s="3"/>
      <c r="K34" s="9" t="s">
        <v>37</v>
      </c>
      <c r="L34" s="14">
        <f t="shared" si="1"/>
        <v>26.143790849673202</v>
      </c>
      <c r="M34" s="14">
        <f t="shared" si="2"/>
        <v>0</v>
      </c>
      <c r="N34" s="14">
        <f t="shared" si="3"/>
        <v>1.9607843137254901</v>
      </c>
      <c r="O34" s="14">
        <f t="shared" si="4"/>
        <v>70.588235294117652</v>
      </c>
      <c r="P34" s="14">
        <f t="shared" si="5"/>
        <v>1.3071895424836601</v>
      </c>
      <c r="Q34" s="14">
        <f t="shared" si="6"/>
        <v>0</v>
      </c>
      <c r="R34" s="4">
        <f t="shared" si="7"/>
        <v>100</v>
      </c>
    </row>
    <row r="35" spans="1:18" x14ac:dyDescent="0.2">
      <c r="A35" s="9" t="s">
        <v>38</v>
      </c>
      <c r="B35" s="2">
        <v>78</v>
      </c>
      <c r="C35" s="2">
        <v>0</v>
      </c>
      <c r="D35" s="2">
        <v>37</v>
      </c>
      <c r="E35" s="2">
        <v>124</v>
      </c>
      <c r="F35" s="2">
        <v>36</v>
      </c>
      <c r="G35" s="2">
        <v>8</v>
      </c>
      <c r="H35" s="3">
        <f t="shared" si="0"/>
        <v>283</v>
      </c>
      <c r="I35" s="3"/>
      <c r="J35" s="3"/>
      <c r="K35" s="9" t="s">
        <v>38</v>
      </c>
      <c r="L35" s="14">
        <f t="shared" si="1"/>
        <v>27.561837455830389</v>
      </c>
      <c r="M35" s="14">
        <f t="shared" si="2"/>
        <v>0</v>
      </c>
      <c r="N35" s="14">
        <f t="shared" si="3"/>
        <v>13.074204946996467</v>
      </c>
      <c r="O35" s="14">
        <f t="shared" si="4"/>
        <v>43.816254416961129</v>
      </c>
      <c r="P35" s="14">
        <f t="shared" si="5"/>
        <v>12.720848056537102</v>
      </c>
      <c r="Q35" s="14">
        <f t="shared" si="6"/>
        <v>2.8268551236749118</v>
      </c>
      <c r="R35" s="4">
        <f t="shared" si="7"/>
        <v>100</v>
      </c>
    </row>
    <row r="36" spans="1:18" x14ac:dyDescent="0.2">
      <c r="A36" s="9" t="s">
        <v>39</v>
      </c>
      <c r="B36" s="2">
        <v>60</v>
      </c>
      <c r="C36" s="2">
        <v>0</v>
      </c>
      <c r="D36" s="2">
        <v>38</v>
      </c>
      <c r="E36" s="2">
        <v>70</v>
      </c>
      <c r="F36" s="2">
        <v>50</v>
      </c>
      <c r="G36" s="2">
        <v>3</v>
      </c>
      <c r="H36" s="3">
        <f t="shared" si="0"/>
        <v>221</v>
      </c>
      <c r="I36" s="3"/>
      <c r="J36" s="3"/>
      <c r="K36" s="9" t="s">
        <v>39</v>
      </c>
      <c r="L36" s="14">
        <f t="shared" si="1"/>
        <v>27.149321266968325</v>
      </c>
      <c r="M36" s="14">
        <f t="shared" si="2"/>
        <v>0</v>
      </c>
      <c r="N36" s="14">
        <f t="shared" si="3"/>
        <v>17.194570135746606</v>
      </c>
      <c r="O36" s="14">
        <f t="shared" si="4"/>
        <v>31.674208144796381</v>
      </c>
      <c r="P36" s="14">
        <f t="shared" si="5"/>
        <v>22.624434389140273</v>
      </c>
      <c r="Q36" s="14">
        <f t="shared" si="6"/>
        <v>1.3574660633484164</v>
      </c>
      <c r="R36" s="4">
        <f t="shared" si="7"/>
        <v>100</v>
      </c>
    </row>
    <row r="37" spans="1:18" x14ac:dyDescent="0.2">
      <c r="A37" s="9" t="s">
        <v>40</v>
      </c>
      <c r="B37" s="2">
        <v>212</v>
      </c>
      <c r="C37" s="2">
        <v>2</v>
      </c>
      <c r="D37" s="2">
        <v>86</v>
      </c>
      <c r="E37" s="2">
        <v>203</v>
      </c>
      <c r="F37" s="2">
        <v>80</v>
      </c>
      <c r="G37" s="2">
        <v>1</v>
      </c>
      <c r="H37" s="3">
        <f t="shared" si="0"/>
        <v>584</v>
      </c>
      <c r="I37" s="3"/>
      <c r="J37" s="3"/>
      <c r="K37" s="9" t="s">
        <v>40</v>
      </c>
      <c r="L37" s="14">
        <f t="shared" si="1"/>
        <v>36.301369863013697</v>
      </c>
      <c r="M37" s="14">
        <f t="shared" si="2"/>
        <v>0.34246575342465752</v>
      </c>
      <c r="N37" s="14">
        <f t="shared" si="3"/>
        <v>14.726027397260275</v>
      </c>
      <c r="O37" s="14">
        <f t="shared" si="4"/>
        <v>34.760273972602739</v>
      </c>
      <c r="P37" s="14">
        <f t="shared" si="5"/>
        <v>13.698630136986301</v>
      </c>
      <c r="Q37" s="14">
        <f t="shared" si="6"/>
        <v>0.17123287671232876</v>
      </c>
      <c r="R37" s="4">
        <f t="shared" si="7"/>
        <v>100</v>
      </c>
    </row>
    <row r="38" spans="1:18" x14ac:dyDescent="0.2">
      <c r="A38" s="9" t="s">
        <v>41</v>
      </c>
      <c r="B38" s="2">
        <v>120</v>
      </c>
      <c r="C38" s="2">
        <v>0</v>
      </c>
      <c r="D38" s="2">
        <v>40</v>
      </c>
      <c r="E38" s="2">
        <v>161</v>
      </c>
      <c r="F38" s="2">
        <v>21</v>
      </c>
      <c r="G38" s="2">
        <v>0</v>
      </c>
      <c r="H38" s="3">
        <f t="shared" si="0"/>
        <v>342</v>
      </c>
      <c r="I38" s="3"/>
      <c r="J38" s="3"/>
      <c r="K38" s="9" t="s">
        <v>41</v>
      </c>
      <c r="L38" s="14">
        <f t="shared" si="1"/>
        <v>35.087719298245617</v>
      </c>
      <c r="M38" s="14">
        <f t="shared" si="2"/>
        <v>0</v>
      </c>
      <c r="N38" s="14">
        <f t="shared" si="3"/>
        <v>11.695906432748538</v>
      </c>
      <c r="O38" s="14">
        <f t="shared" si="4"/>
        <v>47.076023391812868</v>
      </c>
      <c r="P38" s="14">
        <f t="shared" si="5"/>
        <v>6.1403508771929829</v>
      </c>
      <c r="Q38" s="14">
        <f t="shared" si="6"/>
        <v>0</v>
      </c>
      <c r="R38" s="4">
        <f t="shared" si="7"/>
        <v>100</v>
      </c>
    </row>
    <row r="39" spans="1:18" x14ac:dyDescent="0.2">
      <c r="A39" s="9" t="s">
        <v>42</v>
      </c>
      <c r="B39" s="2">
        <v>75</v>
      </c>
      <c r="C39" s="2">
        <v>0</v>
      </c>
      <c r="D39" s="2">
        <v>43</v>
      </c>
      <c r="E39" s="2">
        <v>107</v>
      </c>
      <c r="F39" s="2">
        <v>15</v>
      </c>
      <c r="G39" s="2">
        <v>0</v>
      </c>
      <c r="H39" s="3">
        <f t="shared" si="0"/>
        <v>240</v>
      </c>
      <c r="I39" s="3"/>
      <c r="J39" s="3"/>
      <c r="K39" s="9" t="s">
        <v>42</v>
      </c>
      <c r="L39" s="14">
        <f t="shared" si="1"/>
        <v>31.25</v>
      </c>
      <c r="M39" s="14">
        <f t="shared" si="2"/>
        <v>0</v>
      </c>
      <c r="N39" s="14">
        <f t="shared" si="3"/>
        <v>17.916666666666668</v>
      </c>
      <c r="O39" s="14">
        <f t="shared" si="4"/>
        <v>44.583333333333336</v>
      </c>
      <c r="P39" s="14">
        <f t="shared" si="5"/>
        <v>6.25</v>
      </c>
      <c r="Q39" s="14">
        <f t="shared" si="6"/>
        <v>0</v>
      </c>
      <c r="R39" s="4">
        <f t="shared" si="7"/>
        <v>100</v>
      </c>
    </row>
    <row r="40" spans="1:18" x14ac:dyDescent="0.2">
      <c r="A40" s="9" t="s">
        <v>43</v>
      </c>
      <c r="B40" s="2">
        <v>39</v>
      </c>
      <c r="C40" s="2">
        <v>0</v>
      </c>
      <c r="D40" s="2">
        <v>2</v>
      </c>
      <c r="E40" s="2">
        <v>94</v>
      </c>
      <c r="F40" s="2">
        <v>0</v>
      </c>
      <c r="G40" s="2">
        <v>0</v>
      </c>
      <c r="H40" s="3">
        <f t="shared" si="0"/>
        <v>135</v>
      </c>
      <c r="I40" s="3"/>
      <c r="J40" s="3"/>
      <c r="K40" s="9" t="s">
        <v>43</v>
      </c>
      <c r="L40" s="14">
        <f t="shared" si="1"/>
        <v>28.888888888888889</v>
      </c>
      <c r="M40" s="14">
        <f t="shared" si="2"/>
        <v>0</v>
      </c>
      <c r="N40" s="14">
        <f t="shared" si="3"/>
        <v>1.4814814814814814</v>
      </c>
      <c r="O40" s="14">
        <f t="shared" si="4"/>
        <v>69.629629629629633</v>
      </c>
      <c r="P40" s="14">
        <f t="shared" si="5"/>
        <v>0</v>
      </c>
      <c r="Q40" s="14">
        <f t="shared" si="6"/>
        <v>0</v>
      </c>
      <c r="R40" s="4">
        <f t="shared" si="7"/>
        <v>100</v>
      </c>
    </row>
    <row r="41" spans="1:18" x14ac:dyDescent="0.2">
      <c r="A41" s="9" t="s">
        <v>44</v>
      </c>
      <c r="B41" s="2">
        <v>33</v>
      </c>
      <c r="C41" s="2">
        <v>0</v>
      </c>
      <c r="D41" s="2">
        <v>0</v>
      </c>
      <c r="E41" s="2">
        <v>111</v>
      </c>
      <c r="F41" s="2">
        <v>1</v>
      </c>
      <c r="G41" s="2">
        <v>5</v>
      </c>
      <c r="H41" s="3">
        <f t="shared" si="0"/>
        <v>150</v>
      </c>
      <c r="I41" s="3"/>
      <c r="J41" s="3"/>
      <c r="K41" s="9" t="s">
        <v>44</v>
      </c>
      <c r="L41" s="14">
        <f t="shared" si="1"/>
        <v>22</v>
      </c>
      <c r="M41" s="14">
        <f t="shared" si="2"/>
        <v>0</v>
      </c>
      <c r="N41" s="14">
        <f t="shared" si="3"/>
        <v>0</v>
      </c>
      <c r="O41" s="14">
        <f t="shared" si="4"/>
        <v>74</v>
      </c>
      <c r="P41" s="14">
        <f t="shared" si="5"/>
        <v>0.66666666666666663</v>
      </c>
      <c r="Q41" s="14">
        <f t="shared" si="6"/>
        <v>3.3333333333333335</v>
      </c>
      <c r="R41" s="4">
        <f t="shared" si="7"/>
        <v>100</v>
      </c>
    </row>
    <row r="42" spans="1:18" x14ac:dyDescent="0.2">
      <c r="A42" s="9" t="s">
        <v>45</v>
      </c>
      <c r="B42" s="2">
        <v>45</v>
      </c>
      <c r="C42" s="2">
        <v>0</v>
      </c>
      <c r="D42" s="2">
        <v>0</v>
      </c>
      <c r="E42" s="2">
        <v>67</v>
      </c>
      <c r="F42" s="2">
        <v>2</v>
      </c>
      <c r="G42" s="2">
        <v>3</v>
      </c>
      <c r="H42" s="3">
        <f t="shared" si="0"/>
        <v>117</v>
      </c>
      <c r="I42" s="3"/>
      <c r="J42" s="3"/>
      <c r="K42" s="9" t="s">
        <v>45</v>
      </c>
      <c r="L42" s="14">
        <f t="shared" si="1"/>
        <v>38.46153846153846</v>
      </c>
      <c r="M42" s="14">
        <f t="shared" si="2"/>
        <v>0</v>
      </c>
      <c r="N42" s="14">
        <f t="shared" si="3"/>
        <v>0</v>
      </c>
      <c r="O42" s="14">
        <f t="shared" si="4"/>
        <v>57.264957264957268</v>
      </c>
      <c r="P42" s="14">
        <f t="shared" si="5"/>
        <v>1.7094017094017093</v>
      </c>
      <c r="Q42" s="14">
        <f t="shared" si="6"/>
        <v>2.5641025641025643</v>
      </c>
      <c r="R42" s="4">
        <f t="shared" si="7"/>
        <v>100</v>
      </c>
    </row>
    <row r="43" spans="1:18" x14ac:dyDescent="0.2">
      <c r="A43" s="9" t="s">
        <v>46</v>
      </c>
      <c r="B43" s="2">
        <v>103</v>
      </c>
      <c r="C43" s="2">
        <v>1</v>
      </c>
      <c r="D43" s="2">
        <v>2</v>
      </c>
      <c r="E43" s="2">
        <v>127</v>
      </c>
      <c r="F43" s="2">
        <v>1</v>
      </c>
      <c r="G43" s="2">
        <v>1</v>
      </c>
      <c r="H43" s="3">
        <f t="shared" si="0"/>
        <v>235</v>
      </c>
      <c r="I43" s="3"/>
      <c r="J43" s="3"/>
      <c r="K43" s="9" t="s">
        <v>46</v>
      </c>
      <c r="L43" s="14">
        <f t="shared" si="1"/>
        <v>43.829787234042556</v>
      </c>
      <c r="M43" s="14">
        <f t="shared" si="2"/>
        <v>0.42553191489361702</v>
      </c>
      <c r="N43" s="14">
        <f t="shared" si="3"/>
        <v>0.85106382978723405</v>
      </c>
      <c r="O43" s="14">
        <f t="shared" si="4"/>
        <v>54.042553191489361</v>
      </c>
      <c r="P43" s="14">
        <f t="shared" si="5"/>
        <v>0.42553191489361702</v>
      </c>
      <c r="Q43" s="14">
        <f t="shared" si="6"/>
        <v>0.42553191489361702</v>
      </c>
      <c r="R43" s="4">
        <f t="shared" si="7"/>
        <v>100</v>
      </c>
    </row>
    <row r="44" spans="1:18" x14ac:dyDescent="0.2">
      <c r="A44" s="9" t="s">
        <v>47</v>
      </c>
      <c r="B44" s="2">
        <v>32</v>
      </c>
      <c r="C44" s="2">
        <v>0</v>
      </c>
      <c r="D44" s="2">
        <v>1</v>
      </c>
      <c r="E44" s="2">
        <v>183</v>
      </c>
      <c r="F44" s="2">
        <v>0</v>
      </c>
      <c r="G44" s="2">
        <v>0</v>
      </c>
      <c r="H44" s="3">
        <f t="shared" si="0"/>
        <v>216</v>
      </c>
      <c r="I44" s="3"/>
      <c r="J44" s="3"/>
      <c r="K44" s="9" t="s">
        <v>47</v>
      </c>
      <c r="L44" s="14">
        <f t="shared" si="1"/>
        <v>14.814814814814815</v>
      </c>
      <c r="M44" s="14">
        <f t="shared" si="2"/>
        <v>0</v>
      </c>
      <c r="N44" s="14">
        <f t="shared" si="3"/>
        <v>0.46296296296296297</v>
      </c>
      <c r="O44" s="14">
        <f t="shared" si="4"/>
        <v>84.722222222222229</v>
      </c>
      <c r="P44" s="14">
        <f t="shared" si="5"/>
        <v>0</v>
      </c>
      <c r="Q44" s="14">
        <f t="shared" si="6"/>
        <v>0</v>
      </c>
      <c r="R44" s="4">
        <f t="shared" si="7"/>
        <v>100</v>
      </c>
    </row>
    <row r="45" spans="1:18" x14ac:dyDescent="0.2">
      <c r="A45" s="9" t="s">
        <v>48</v>
      </c>
      <c r="B45" s="2">
        <v>40</v>
      </c>
      <c r="C45" s="2">
        <v>0</v>
      </c>
      <c r="D45" s="2">
        <v>4</v>
      </c>
      <c r="E45" s="2">
        <v>153</v>
      </c>
      <c r="F45" s="2">
        <v>5</v>
      </c>
      <c r="G45" s="2">
        <v>0</v>
      </c>
      <c r="H45" s="3">
        <f t="shared" si="0"/>
        <v>202</v>
      </c>
      <c r="I45" s="3"/>
      <c r="J45" s="3"/>
      <c r="K45" s="9" t="s">
        <v>48</v>
      </c>
      <c r="L45" s="14">
        <f t="shared" si="1"/>
        <v>19.801980198019802</v>
      </c>
      <c r="M45" s="14">
        <f t="shared" si="2"/>
        <v>0</v>
      </c>
      <c r="N45" s="14">
        <f t="shared" si="3"/>
        <v>1.9801980198019802</v>
      </c>
      <c r="O45" s="14">
        <f t="shared" si="4"/>
        <v>75.742574257425744</v>
      </c>
      <c r="P45" s="14">
        <f t="shared" si="5"/>
        <v>2.4752475247524752</v>
      </c>
      <c r="Q45" s="14">
        <f t="shared" si="6"/>
        <v>0</v>
      </c>
      <c r="R45" s="4">
        <f t="shared" si="7"/>
        <v>100</v>
      </c>
    </row>
    <row r="46" spans="1:18" x14ac:dyDescent="0.2">
      <c r="A46" s="9" t="s">
        <v>49</v>
      </c>
      <c r="B46" s="2">
        <v>9</v>
      </c>
      <c r="C46" s="2">
        <v>1</v>
      </c>
      <c r="D46" s="2">
        <v>2</v>
      </c>
      <c r="E46" s="2">
        <v>145</v>
      </c>
      <c r="F46" s="2">
        <v>0</v>
      </c>
      <c r="G46" s="2">
        <v>0</v>
      </c>
      <c r="H46" s="3">
        <f t="shared" si="0"/>
        <v>157</v>
      </c>
      <c r="I46" s="3"/>
      <c r="J46" s="3"/>
      <c r="K46" s="9" t="s">
        <v>49</v>
      </c>
      <c r="L46" s="14">
        <f t="shared" si="1"/>
        <v>5.7324840764331206</v>
      </c>
      <c r="M46" s="14">
        <f t="shared" si="2"/>
        <v>0.63694267515923564</v>
      </c>
      <c r="N46" s="14">
        <f t="shared" si="3"/>
        <v>1.2738853503184713</v>
      </c>
      <c r="O46" s="14">
        <f t="shared" si="4"/>
        <v>92.356687898089177</v>
      </c>
      <c r="P46" s="14">
        <f t="shared" si="5"/>
        <v>0</v>
      </c>
      <c r="Q46" s="14">
        <f t="shared" si="6"/>
        <v>0</v>
      </c>
      <c r="R46" s="4">
        <f t="shared" si="7"/>
        <v>100</v>
      </c>
    </row>
    <row r="47" spans="1:18" x14ac:dyDescent="0.2">
      <c r="A47" s="9" t="s">
        <v>50</v>
      </c>
      <c r="B47" s="2">
        <v>26</v>
      </c>
      <c r="C47" s="2">
        <v>0</v>
      </c>
      <c r="D47" s="2">
        <v>0</v>
      </c>
      <c r="E47" s="2">
        <v>62</v>
      </c>
      <c r="F47" s="2">
        <v>0</v>
      </c>
      <c r="G47" s="2">
        <v>1</v>
      </c>
      <c r="H47" s="3">
        <f t="shared" si="0"/>
        <v>89</v>
      </c>
      <c r="I47" s="3"/>
      <c r="J47" s="3"/>
      <c r="K47" s="9" t="s">
        <v>50</v>
      </c>
      <c r="L47" s="14">
        <f t="shared" si="1"/>
        <v>29.213483146067414</v>
      </c>
      <c r="M47" s="14">
        <f t="shared" si="2"/>
        <v>0</v>
      </c>
      <c r="N47" s="14">
        <f t="shared" si="3"/>
        <v>0</v>
      </c>
      <c r="O47" s="14">
        <f t="shared" si="4"/>
        <v>69.662921348314612</v>
      </c>
      <c r="P47" s="14">
        <f t="shared" si="5"/>
        <v>0</v>
      </c>
      <c r="Q47" s="14">
        <f t="shared" si="6"/>
        <v>1.1235955056179776</v>
      </c>
      <c r="R47" s="4">
        <f t="shared" si="7"/>
        <v>100</v>
      </c>
    </row>
    <row r="48" spans="1:18" x14ac:dyDescent="0.2">
      <c r="A48" s="9" t="s">
        <v>51</v>
      </c>
      <c r="B48" s="2">
        <v>6</v>
      </c>
      <c r="C48" s="2">
        <v>0</v>
      </c>
      <c r="D48" s="2">
        <v>0</v>
      </c>
      <c r="E48" s="2">
        <v>20</v>
      </c>
      <c r="F48" s="2">
        <v>0</v>
      </c>
      <c r="G48" s="2">
        <v>1</v>
      </c>
      <c r="H48" s="3">
        <f t="shared" si="0"/>
        <v>27</v>
      </c>
      <c r="I48" s="3"/>
      <c r="J48" s="3"/>
      <c r="K48" s="9" t="s">
        <v>51</v>
      </c>
      <c r="L48" s="14">
        <f t="shared" si="1"/>
        <v>22.222222222222221</v>
      </c>
      <c r="M48" s="14">
        <f t="shared" si="2"/>
        <v>0</v>
      </c>
      <c r="N48" s="14">
        <f t="shared" si="3"/>
        <v>0</v>
      </c>
      <c r="O48" s="14">
        <f t="shared" si="4"/>
        <v>74.074074074074076</v>
      </c>
      <c r="P48" s="14">
        <f t="shared" si="5"/>
        <v>0</v>
      </c>
      <c r="Q48" s="14">
        <f t="shared" si="6"/>
        <v>3.7037037037037037</v>
      </c>
      <c r="R48" s="4">
        <f t="shared" si="7"/>
        <v>100</v>
      </c>
    </row>
    <row r="49" spans="1:18" x14ac:dyDescent="0.2">
      <c r="A49" s="9" t="s">
        <v>52</v>
      </c>
      <c r="B49" s="2">
        <v>80</v>
      </c>
      <c r="C49" s="2">
        <v>0</v>
      </c>
      <c r="D49" s="2">
        <v>0</v>
      </c>
      <c r="E49" s="2">
        <v>71</v>
      </c>
      <c r="F49" s="2">
        <v>0</v>
      </c>
      <c r="G49" s="2">
        <v>3</v>
      </c>
      <c r="H49" s="3">
        <f t="shared" si="0"/>
        <v>154</v>
      </c>
      <c r="I49" s="3"/>
      <c r="J49" s="3"/>
      <c r="K49" s="9" t="s">
        <v>52</v>
      </c>
      <c r="L49" s="14">
        <f t="shared" si="1"/>
        <v>51.948051948051948</v>
      </c>
      <c r="M49" s="14">
        <f t="shared" si="2"/>
        <v>0</v>
      </c>
      <c r="N49" s="14">
        <f t="shared" si="3"/>
        <v>0</v>
      </c>
      <c r="O49" s="14">
        <f t="shared" si="4"/>
        <v>46.103896103896105</v>
      </c>
      <c r="P49" s="14">
        <f t="shared" si="5"/>
        <v>0</v>
      </c>
      <c r="Q49" s="14">
        <f t="shared" si="6"/>
        <v>1.948051948051948</v>
      </c>
      <c r="R49" s="4">
        <f t="shared" si="7"/>
        <v>100</v>
      </c>
    </row>
    <row r="50" spans="1:18" x14ac:dyDescent="0.2">
      <c r="A50" s="9" t="s">
        <v>53</v>
      </c>
      <c r="B50" s="2">
        <v>11</v>
      </c>
      <c r="C50" s="2">
        <v>54</v>
      </c>
      <c r="D50" s="2">
        <v>0</v>
      </c>
      <c r="E50" s="2">
        <v>28</v>
      </c>
      <c r="F50" s="2">
        <v>0</v>
      </c>
      <c r="G50" s="2">
        <v>2</v>
      </c>
      <c r="H50" s="3">
        <f t="shared" si="0"/>
        <v>95</v>
      </c>
      <c r="I50" s="3"/>
      <c r="J50" s="3"/>
      <c r="K50" s="9" t="s">
        <v>53</v>
      </c>
      <c r="L50" s="14">
        <f t="shared" si="1"/>
        <v>11.578947368421053</v>
      </c>
      <c r="M50" s="14">
        <f t="shared" si="2"/>
        <v>56.842105263157897</v>
      </c>
      <c r="N50" s="14">
        <f t="shared" si="3"/>
        <v>0</v>
      </c>
      <c r="O50" s="14">
        <f t="shared" si="4"/>
        <v>29.473684210526315</v>
      </c>
      <c r="P50" s="14">
        <f t="shared" si="5"/>
        <v>0</v>
      </c>
      <c r="Q50" s="14">
        <f t="shared" si="6"/>
        <v>2.1052631578947367</v>
      </c>
      <c r="R50" s="4">
        <f t="shared" si="7"/>
        <v>100</v>
      </c>
    </row>
    <row r="51" spans="1:18" x14ac:dyDescent="0.2">
      <c r="A51" s="9" t="s">
        <v>54</v>
      </c>
      <c r="B51" s="2">
        <v>95</v>
      </c>
      <c r="C51" s="2">
        <v>21</v>
      </c>
      <c r="D51" s="2">
        <v>2</v>
      </c>
      <c r="E51" s="2">
        <v>214</v>
      </c>
      <c r="F51" s="2">
        <v>0</v>
      </c>
      <c r="G51" s="2">
        <v>0</v>
      </c>
      <c r="H51" s="3">
        <f t="shared" si="0"/>
        <v>332</v>
      </c>
      <c r="I51" s="3"/>
      <c r="J51" s="3"/>
      <c r="K51" s="9" t="s">
        <v>54</v>
      </c>
      <c r="L51" s="14">
        <f t="shared" si="1"/>
        <v>28.6144578313253</v>
      </c>
      <c r="M51" s="14">
        <f t="shared" si="2"/>
        <v>6.3253012048192767</v>
      </c>
      <c r="N51" s="14">
        <f t="shared" si="3"/>
        <v>0.60240963855421692</v>
      </c>
      <c r="O51" s="14">
        <f t="shared" si="4"/>
        <v>64.4578313253012</v>
      </c>
      <c r="P51" s="14">
        <f t="shared" si="5"/>
        <v>0</v>
      </c>
      <c r="Q51" s="14">
        <f t="shared" si="6"/>
        <v>0</v>
      </c>
      <c r="R51" s="4">
        <f t="shared" si="7"/>
        <v>100</v>
      </c>
    </row>
    <row r="52" spans="1:18" x14ac:dyDescent="0.2">
      <c r="A52" s="9" t="s">
        <v>55</v>
      </c>
      <c r="B52" s="2">
        <v>74</v>
      </c>
      <c r="C52" s="2">
        <v>0</v>
      </c>
      <c r="D52" s="2">
        <v>12</v>
      </c>
      <c r="E52" s="2">
        <v>225</v>
      </c>
      <c r="F52" s="2">
        <v>0</v>
      </c>
      <c r="G52" s="2">
        <v>0</v>
      </c>
      <c r="H52" s="3">
        <f t="shared" si="0"/>
        <v>311</v>
      </c>
      <c r="I52" s="3"/>
      <c r="J52" s="3"/>
      <c r="K52" s="9" t="s">
        <v>55</v>
      </c>
      <c r="L52" s="14">
        <f t="shared" si="1"/>
        <v>23.794212218649516</v>
      </c>
      <c r="M52" s="14">
        <f t="shared" si="2"/>
        <v>0</v>
      </c>
      <c r="N52" s="14">
        <f t="shared" si="3"/>
        <v>3.8585209003215435</v>
      </c>
      <c r="O52" s="14">
        <f t="shared" si="4"/>
        <v>72.347266881028943</v>
      </c>
      <c r="P52" s="14">
        <f t="shared" si="5"/>
        <v>0</v>
      </c>
      <c r="Q52" s="14">
        <f t="shared" si="6"/>
        <v>0</v>
      </c>
      <c r="R52" s="4">
        <f t="shared" si="7"/>
        <v>100</v>
      </c>
    </row>
    <row r="53" spans="1:18" x14ac:dyDescent="0.2">
      <c r="A53" s="9" t="s">
        <v>56</v>
      </c>
      <c r="B53" s="2">
        <v>95</v>
      </c>
      <c r="C53" s="2">
        <v>1</v>
      </c>
      <c r="D53" s="2">
        <v>1</v>
      </c>
      <c r="E53" s="2">
        <v>220</v>
      </c>
      <c r="F53" s="2">
        <v>0</v>
      </c>
      <c r="G53" s="2">
        <v>0</v>
      </c>
      <c r="H53" s="3">
        <f t="shared" si="0"/>
        <v>317</v>
      </c>
      <c r="I53" s="3"/>
      <c r="J53" s="3"/>
      <c r="K53" s="9" t="s">
        <v>56</v>
      </c>
      <c r="L53" s="14">
        <f t="shared" si="1"/>
        <v>29.968454258675077</v>
      </c>
      <c r="M53" s="14">
        <f t="shared" si="2"/>
        <v>0.31545741324921134</v>
      </c>
      <c r="N53" s="14">
        <f t="shared" si="3"/>
        <v>0.31545741324921134</v>
      </c>
      <c r="O53" s="14">
        <f t="shared" si="4"/>
        <v>69.400630914826493</v>
      </c>
      <c r="P53" s="14">
        <f t="shared" si="5"/>
        <v>0</v>
      </c>
      <c r="Q53" s="14">
        <f t="shared" si="6"/>
        <v>0</v>
      </c>
      <c r="R53" s="4">
        <f t="shared" si="7"/>
        <v>100</v>
      </c>
    </row>
    <row r="54" spans="1:18" x14ac:dyDescent="0.2">
      <c r="A54" s="9" t="s">
        <v>57</v>
      </c>
      <c r="B54" s="2">
        <v>52</v>
      </c>
      <c r="C54" s="2">
        <v>0</v>
      </c>
      <c r="D54" s="2">
        <v>2</v>
      </c>
      <c r="E54" s="2">
        <v>110</v>
      </c>
      <c r="F54" s="2">
        <v>0</v>
      </c>
      <c r="G54" s="2">
        <v>0</v>
      </c>
      <c r="H54" s="3">
        <f t="shared" si="0"/>
        <v>164</v>
      </c>
      <c r="I54" s="3"/>
      <c r="J54" s="3"/>
      <c r="K54" s="9" t="s">
        <v>57</v>
      </c>
      <c r="L54" s="14">
        <f t="shared" si="1"/>
        <v>31.707317073170731</v>
      </c>
      <c r="M54" s="14">
        <f t="shared" si="2"/>
        <v>0</v>
      </c>
      <c r="N54" s="14">
        <f t="shared" si="3"/>
        <v>1.2195121951219512</v>
      </c>
      <c r="O54" s="14">
        <f t="shared" si="4"/>
        <v>67.073170731707322</v>
      </c>
      <c r="P54" s="14">
        <f t="shared" si="5"/>
        <v>0</v>
      </c>
      <c r="Q54" s="14">
        <f t="shared" si="6"/>
        <v>0</v>
      </c>
      <c r="R54" s="4">
        <f t="shared" si="7"/>
        <v>100</v>
      </c>
    </row>
    <row r="55" spans="1:18" x14ac:dyDescent="0.2">
      <c r="A55" s="9" t="s">
        <v>58</v>
      </c>
      <c r="B55" s="2">
        <v>27</v>
      </c>
      <c r="C55" s="2">
        <v>1</v>
      </c>
      <c r="D55" s="2">
        <v>8</v>
      </c>
      <c r="E55" s="2">
        <v>100</v>
      </c>
      <c r="F55" s="2">
        <v>3</v>
      </c>
      <c r="G55" s="2">
        <v>0</v>
      </c>
      <c r="H55" s="3">
        <f t="shared" si="0"/>
        <v>139</v>
      </c>
      <c r="I55" s="3"/>
      <c r="J55" s="3"/>
      <c r="K55" s="9" t="s">
        <v>58</v>
      </c>
      <c r="L55" s="14">
        <f t="shared" si="1"/>
        <v>19.424460431654676</v>
      </c>
      <c r="M55" s="14">
        <f t="shared" si="2"/>
        <v>0.71942446043165464</v>
      </c>
      <c r="N55" s="14">
        <f t="shared" si="3"/>
        <v>5.7553956834532372</v>
      </c>
      <c r="O55" s="14">
        <f t="shared" si="4"/>
        <v>71.942446043165461</v>
      </c>
      <c r="P55" s="14">
        <f t="shared" si="5"/>
        <v>2.1582733812949639</v>
      </c>
      <c r="Q55" s="14">
        <f t="shared" si="6"/>
        <v>0</v>
      </c>
      <c r="R55" s="4">
        <f t="shared" si="7"/>
        <v>100</v>
      </c>
    </row>
    <row r="56" spans="1:18" x14ac:dyDescent="0.2">
      <c r="A56" s="9" t="s">
        <v>59</v>
      </c>
      <c r="B56" s="2">
        <v>32</v>
      </c>
      <c r="C56" s="2">
        <v>0</v>
      </c>
      <c r="D56" s="2">
        <v>0</v>
      </c>
      <c r="E56" s="2">
        <v>86</v>
      </c>
      <c r="F56" s="2">
        <v>0</v>
      </c>
      <c r="G56" s="2">
        <v>0</v>
      </c>
      <c r="H56" s="3">
        <f t="shared" si="0"/>
        <v>118</v>
      </c>
      <c r="I56" s="3"/>
      <c r="J56" s="3"/>
      <c r="K56" s="9" t="s">
        <v>59</v>
      </c>
      <c r="L56" s="14">
        <f t="shared" si="1"/>
        <v>27.118644067796609</v>
      </c>
      <c r="M56" s="14">
        <f t="shared" si="2"/>
        <v>0</v>
      </c>
      <c r="N56" s="14">
        <f t="shared" si="3"/>
        <v>0</v>
      </c>
      <c r="O56" s="14">
        <f t="shared" si="4"/>
        <v>72.881355932203391</v>
      </c>
      <c r="P56" s="14">
        <f t="shared" si="5"/>
        <v>0</v>
      </c>
      <c r="Q56" s="14">
        <f t="shared" si="6"/>
        <v>0</v>
      </c>
      <c r="R56" s="4">
        <f t="shared" si="7"/>
        <v>100</v>
      </c>
    </row>
    <row r="57" spans="1:18" x14ac:dyDescent="0.2">
      <c r="A57" s="9" t="s">
        <v>60</v>
      </c>
      <c r="B57" s="2">
        <v>8</v>
      </c>
      <c r="C57" s="2">
        <v>0</v>
      </c>
      <c r="D57" s="2">
        <v>0</v>
      </c>
      <c r="E57" s="2">
        <v>57</v>
      </c>
      <c r="F57" s="2">
        <v>0</v>
      </c>
      <c r="G57" s="2">
        <v>0</v>
      </c>
      <c r="H57" s="3">
        <f t="shared" si="0"/>
        <v>65</v>
      </c>
      <c r="I57" s="3"/>
      <c r="J57" s="3"/>
      <c r="K57" s="9" t="s">
        <v>60</v>
      </c>
      <c r="L57" s="14">
        <f t="shared" si="1"/>
        <v>12.307692307692308</v>
      </c>
      <c r="M57" s="14">
        <f t="shared" si="2"/>
        <v>0</v>
      </c>
      <c r="N57" s="14">
        <f t="shared" si="3"/>
        <v>0</v>
      </c>
      <c r="O57" s="14">
        <f t="shared" si="4"/>
        <v>87.692307692307693</v>
      </c>
      <c r="P57" s="14">
        <f t="shared" si="5"/>
        <v>0</v>
      </c>
      <c r="Q57" s="14">
        <f t="shared" si="6"/>
        <v>0</v>
      </c>
      <c r="R57" s="4">
        <f t="shared" si="7"/>
        <v>100</v>
      </c>
    </row>
    <row r="58" spans="1:18" x14ac:dyDescent="0.2">
      <c r="A58" s="9" t="s">
        <v>61</v>
      </c>
      <c r="B58" s="2">
        <v>115</v>
      </c>
      <c r="C58" s="2">
        <v>0</v>
      </c>
      <c r="D58" s="2">
        <v>5</v>
      </c>
      <c r="E58" s="2">
        <v>597</v>
      </c>
      <c r="F58" s="2">
        <v>0</v>
      </c>
      <c r="G58" s="2">
        <v>2</v>
      </c>
      <c r="H58" s="3">
        <f t="shared" si="0"/>
        <v>719</v>
      </c>
      <c r="I58" s="3"/>
      <c r="J58" s="3"/>
      <c r="K58" s="9" t="s">
        <v>61</v>
      </c>
      <c r="L58" s="14">
        <f t="shared" si="1"/>
        <v>15.994436717663421</v>
      </c>
      <c r="M58" s="14">
        <f t="shared" si="2"/>
        <v>0</v>
      </c>
      <c r="N58" s="14">
        <f t="shared" si="3"/>
        <v>0.69541029207232263</v>
      </c>
      <c r="O58" s="14">
        <f t="shared" si="4"/>
        <v>83.031988873435324</v>
      </c>
      <c r="P58" s="14">
        <f t="shared" si="5"/>
        <v>0</v>
      </c>
      <c r="Q58" s="14">
        <f t="shared" si="6"/>
        <v>0.27816411682892905</v>
      </c>
      <c r="R58" s="4">
        <f t="shared" si="7"/>
        <v>100</v>
      </c>
    </row>
    <row r="59" spans="1:18" x14ac:dyDescent="0.2">
      <c r="A59" s="9" t="s">
        <v>62</v>
      </c>
      <c r="B59" s="2">
        <v>27</v>
      </c>
      <c r="C59" s="2">
        <v>1</v>
      </c>
      <c r="D59" s="2">
        <v>0</v>
      </c>
      <c r="E59" s="2">
        <v>574</v>
      </c>
      <c r="F59" s="2">
        <v>0</v>
      </c>
      <c r="G59" s="2">
        <v>0</v>
      </c>
      <c r="H59" s="3">
        <f t="shared" si="0"/>
        <v>602</v>
      </c>
      <c r="I59" s="3"/>
      <c r="J59" s="3"/>
      <c r="K59" s="9" t="s">
        <v>62</v>
      </c>
      <c r="L59" s="14">
        <f t="shared" si="1"/>
        <v>4.485049833887043</v>
      </c>
      <c r="M59" s="14">
        <f t="shared" si="2"/>
        <v>0.16611295681063123</v>
      </c>
      <c r="N59" s="14">
        <f t="shared" si="3"/>
        <v>0</v>
      </c>
      <c r="O59" s="14">
        <f t="shared" si="4"/>
        <v>95.348837209302332</v>
      </c>
      <c r="P59" s="14">
        <f t="shared" si="5"/>
        <v>0</v>
      </c>
      <c r="Q59" s="14">
        <f t="shared" si="6"/>
        <v>0</v>
      </c>
      <c r="R59" s="4">
        <f t="shared" si="7"/>
        <v>100</v>
      </c>
    </row>
    <row r="60" spans="1:18" x14ac:dyDescent="0.2">
      <c r="A60" s="9" t="s">
        <v>63</v>
      </c>
      <c r="B60" s="2">
        <v>1</v>
      </c>
      <c r="C60" s="2">
        <v>0</v>
      </c>
      <c r="D60" s="2">
        <v>0</v>
      </c>
      <c r="E60" s="2">
        <v>172</v>
      </c>
      <c r="F60" s="2">
        <v>0</v>
      </c>
      <c r="G60" s="2">
        <v>8</v>
      </c>
      <c r="H60" s="3">
        <f t="shared" si="0"/>
        <v>181</v>
      </c>
      <c r="I60" s="3"/>
      <c r="J60" s="3"/>
      <c r="K60" s="9" t="s">
        <v>63</v>
      </c>
      <c r="L60" s="14">
        <f t="shared" si="1"/>
        <v>0.5524861878453039</v>
      </c>
      <c r="M60" s="14">
        <f t="shared" si="2"/>
        <v>0</v>
      </c>
      <c r="N60" s="14">
        <f t="shared" si="3"/>
        <v>0</v>
      </c>
      <c r="O60" s="14">
        <f t="shared" si="4"/>
        <v>95.027624309392266</v>
      </c>
      <c r="P60" s="14">
        <f t="shared" si="5"/>
        <v>0</v>
      </c>
      <c r="Q60" s="14">
        <f t="shared" si="6"/>
        <v>4.4198895027624312</v>
      </c>
      <c r="R60" s="4">
        <f t="shared" si="7"/>
        <v>100</v>
      </c>
    </row>
    <row r="61" spans="1:18" x14ac:dyDescent="0.2">
      <c r="A61" s="9" t="s">
        <v>64</v>
      </c>
      <c r="B61" s="2">
        <v>54</v>
      </c>
      <c r="C61" s="2">
        <v>0</v>
      </c>
      <c r="D61" s="2">
        <v>0</v>
      </c>
      <c r="E61" s="2">
        <v>104</v>
      </c>
      <c r="F61" s="2">
        <v>2</v>
      </c>
      <c r="G61" s="2">
        <v>1</v>
      </c>
      <c r="H61" s="3">
        <f t="shared" si="0"/>
        <v>161</v>
      </c>
      <c r="I61" s="3"/>
      <c r="J61" s="3"/>
      <c r="K61" s="9" t="s">
        <v>64</v>
      </c>
      <c r="L61" s="14">
        <f t="shared" si="1"/>
        <v>33.54037267080745</v>
      </c>
      <c r="M61" s="14">
        <f t="shared" si="2"/>
        <v>0</v>
      </c>
      <c r="N61" s="14">
        <f t="shared" si="3"/>
        <v>0</v>
      </c>
      <c r="O61" s="14">
        <f t="shared" si="4"/>
        <v>64.596273291925471</v>
      </c>
      <c r="P61" s="14">
        <f t="shared" si="5"/>
        <v>1.2422360248447204</v>
      </c>
      <c r="Q61" s="14">
        <f t="shared" si="6"/>
        <v>0.6211180124223602</v>
      </c>
      <c r="R61" s="4">
        <f t="shared" si="7"/>
        <v>100</v>
      </c>
    </row>
    <row r="62" spans="1:18" x14ac:dyDescent="0.2">
      <c r="A62" s="9" t="s">
        <v>65</v>
      </c>
      <c r="B62" s="2">
        <v>6</v>
      </c>
      <c r="C62" s="2">
        <v>275</v>
      </c>
      <c r="D62" s="2">
        <v>11</v>
      </c>
      <c r="E62" s="2">
        <v>10</v>
      </c>
      <c r="F62" s="2">
        <v>31</v>
      </c>
      <c r="G62" s="2">
        <v>38</v>
      </c>
      <c r="H62" s="3">
        <f t="shared" si="0"/>
        <v>371</v>
      </c>
      <c r="I62" s="3"/>
      <c r="J62" s="3"/>
      <c r="K62" s="9" t="s">
        <v>65</v>
      </c>
      <c r="L62" s="14">
        <f t="shared" si="1"/>
        <v>1.6172506738544474</v>
      </c>
      <c r="M62" s="14">
        <f t="shared" si="2"/>
        <v>74.123989218328845</v>
      </c>
      <c r="N62" s="14">
        <f t="shared" si="3"/>
        <v>2.9649595687331538</v>
      </c>
      <c r="O62" s="14">
        <f t="shared" si="4"/>
        <v>2.6954177897574123</v>
      </c>
      <c r="P62" s="14">
        <f t="shared" si="5"/>
        <v>8.355795148247978</v>
      </c>
      <c r="Q62" s="14">
        <f t="shared" si="6"/>
        <v>10.242587601078167</v>
      </c>
      <c r="R62" s="4">
        <f t="shared" si="7"/>
        <v>100</v>
      </c>
    </row>
    <row r="63" spans="1:18" x14ac:dyDescent="0.2">
      <c r="A63" s="9" t="s">
        <v>66</v>
      </c>
      <c r="B63" s="2">
        <v>130</v>
      </c>
      <c r="C63" s="2">
        <v>31</v>
      </c>
      <c r="D63" s="2">
        <v>1</v>
      </c>
      <c r="E63" s="2">
        <v>30</v>
      </c>
      <c r="F63" s="2">
        <v>0</v>
      </c>
      <c r="G63" s="2">
        <v>0</v>
      </c>
      <c r="H63" s="3">
        <f t="shared" si="0"/>
        <v>192</v>
      </c>
      <c r="I63" s="3"/>
      <c r="J63" s="3"/>
      <c r="K63" s="9" t="s">
        <v>66</v>
      </c>
      <c r="L63" s="14">
        <f t="shared" si="1"/>
        <v>67.708333333333329</v>
      </c>
      <c r="M63" s="14">
        <f t="shared" si="2"/>
        <v>16.145833333333332</v>
      </c>
      <c r="N63" s="14">
        <f t="shared" si="3"/>
        <v>0.52083333333333337</v>
      </c>
      <c r="O63" s="14">
        <f t="shared" si="4"/>
        <v>15.625</v>
      </c>
      <c r="P63" s="14">
        <f t="shared" si="5"/>
        <v>0</v>
      </c>
      <c r="Q63" s="14">
        <f t="shared" si="6"/>
        <v>0</v>
      </c>
      <c r="R63" s="4">
        <f t="shared" si="7"/>
        <v>100</v>
      </c>
    </row>
    <row r="64" spans="1:18" x14ac:dyDescent="0.2">
      <c r="A64" s="9" t="s">
        <v>67</v>
      </c>
      <c r="B64" s="2">
        <v>3</v>
      </c>
      <c r="C64" s="2">
        <v>19</v>
      </c>
      <c r="D64" s="2">
        <v>0</v>
      </c>
      <c r="E64" s="2">
        <v>2</v>
      </c>
      <c r="F64" s="2">
        <v>0</v>
      </c>
      <c r="G64" s="2">
        <v>0</v>
      </c>
      <c r="H64" s="3">
        <f t="shared" si="0"/>
        <v>24</v>
      </c>
      <c r="I64" s="3"/>
      <c r="J64" s="3"/>
      <c r="K64" s="9" t="s">
        <v>67</v>
      </c>
      <c r="L64" s="14">
        <f t="shared" si="1"/>
        <v>12.5</v>
      </c>
      <c r="M64" s="14">
        <f t="shared" si="2"/>
        <v>79.166666666666671</v>
      </c>
      <c r="N64" s="14">
        <f t="shared" si="3"/>
        <v>0</v>
      </c>
      <c r="O64" s="14">
        <f t="shared" si="4"/>
        <v>8.3333333333333339</v>
      </c>
      <c r="P64" s="14">
        <f t="shared" si="5"/>
        <v>0</v>
      </c>
      <c r="Q64" s="14">
        <f t="shared" si="6"/>
        <v>0</v>
      </c>
      <c r="R64" s="4">
        <f t="shared" si="7"/>
        <v>100</v>
      </c>
    </row>
    <row r="65" spans="1:18" x14ac:dyDescent="0.2">
      <c r="A65" s="9" t="s">
        <v>68</v>
      </c>
      <c r="B65" s="2">
        <v>38</v>
      </c>
      <c r="C65" s="2">
        <v>0</v>
      </c>
      <c r="D65" s="2">
        <v>0</v>
      </c>
      <c r="E65" s="2">
        <v>54</v>
      </c>
      <c r="F65" s="2">
        <v>0</v>
      </c>
      <c r="G65" s="2">
        <v>0</v>
      </c>
      <c r="H65" s="3">
        <f t="shared" si="0"/>
        <v>92</v>
      </c>
      <c r="I65" s="3"/>
      <c r="J65" s="3"/>
      <c r="K65" s="9" t="s">
        <v>68</v>
      </c>
      <c r="L65" s="14">
        <f t="shared" si="1"/>
        <v>41.304347826086953</v>
      </c>
      <c r="M65" s="14">
        <f t="shared" si="2"/>
        <v>0</v>
      </c>
      <c r="N65" s="14">
        <f t="shared" si="3"/>
        <v>0</v>
      </c>
      <c r="O65" s="14">
        <f t="shared" si="4"/>
        <v>58.695652173913047</v>
      </c>
      <c r="P65" s="14">
        <f t="shared" si="5"/>
        <v>0</v>
      </c>
      <c r="Q65" s="14">
        <f t="shared" si="6"/>
        <v>0</v>
      </c>
      <c r="R65" s="4">
        <f t="shared" si="7"/>
        <v>100</v>
      </c>
    </row>
    <row r="66" spans="1:18" x14ac:dyDescent="0.2">
      <c r="A66" s="9" t="s">
        <v>69</v>
      </c>
      <c r="B66" s="2">
        <v>72</v>
      </c>
      <c r="C66" s="2">
        <v>1</v>
      </c>
      <c r="D66" s="2">
        <v>2</v>
      </c>
      <c r="E66" s="2">
        <v>174</v>
      </c>
      <c r="F66" s="2">
        <v>0</v>
      </c>
      <c r="G66" s="2">
        <v>1</v>
      </c>
      <c r="H66" s="3">
        <f t="shared" si="0"/>
        <v>250</v>
      </c>
      <c r="I66" s="3"/>
      <c r="J66" s="3"/>
      <c r="K66" s="9" t="s">
        <v>69</v>
      </c>
      <c r="L66" s="14">
        <f t="shared" si="1"/>
        <v>28.8</v>
      </c>
      <c r="M66" s="14">
        <f t="shared" si="2"/>
        <v>0.4</v>
      </c>
      <c r="N66" s="14">
        <f t="shared" si="3"/>
        <v>0.8</v>
      </c>
      <c r="O66" s="14">
        <f t="shared" si="4"/>
        <v>69.599999999999994</v>
      </c>
      <c r="P66" s="14">
        <f t="shared" si="5"/>
        <v>0</v>
      </c>
      <c r="Q66" s="14">
        <f t="shared" si="6"/>
        <v>0.4</v>
      </c>
      <c r="R66" s="4">
        <f t="shared" si="7"/>
        <v>100</v>
      </c>
    </row>
    <row r="67" spans="1:18" x14ac:dyDescent="0.2">
      <c r="A67" s="9" t="s">
        <v>70</v>
      </c>
      <c r="B67" s="2">
        <v>195</v>
      </c>
      <c r="C67" s="2">
        <v>1</v>
      </c>
      <c r="D67" s="2">
        <v>1</v>
      </c>
      <c r="E67" s="2">
        <v>312</v>
      </c>
      <c r="F67" s="2">
        <v>1</v>
      </c>
      <c r="G67" s="2">
        <v>2</v>
      </c>
      <c r="H67" s="3">
        <f t="shared" si="0"/>
        <v>512</v>
      </c>
      <c r="I67" s="3"/>
      <c r="J67" s="3"/>
      <c r="K67" s="9" t="s">
        <v>70</v>
      </c>
      <c r="L67" s="14">
        <f t="shared" si="1"/>
        <v>38.0859375</v>
      </c>
      <c r="M67" s="14">
        <f t="shared" si="2"/>
        <v>0.1953125</v>
      </c>
      <c r="N67" s="14">
        <f t="shared" si="3"/>
        <v>0.1953125</v>
      </c>
      <c r="O67" s="14">
        <f t="shared" si="4"/>
        <v>60.9375</v>
      </c>
      <c r="P67" s="14">
        <f t="shared" si="5"/>
        <v>0.1953125</v>
      </c>
      <c r="Q67" s="14">
        <f t="shared" si="6"/>
        <v>0.390625</v>
      </c>
      <c r="R67" s="4">
        <f t="shared" si="7"/>
        <v>100</v>
      </c>
    </row>
    <row r="68" spans="1:18" x14ac:dyDescent="0.2">
      <c r="A68" s="9" t="s">
        <v>71</v>
      </c>
      <c r="B68" s="2">
        <v>50</v>
      </c>
      <c r="C68" s="2">
        <v>0</v>
      </c>
      <c r="D68" s="2">
        <v>2</v>
      </c>
      <c r="E68" s="2">
        <v>85</v>
      </c>
      <c r="F68" s="2">
        <v>0</v>
      </c>
      <c r="G68" s="2">
        <v>2</v>
      </c>
      <c r="H68" s="3">
        <f t="shared" ref="H68:H72" si="8">SUM(B68:G68)</f>
        <v>139</v>
      </c>
      <c r="I68" s="3"/>
      <c r="J68" s="3"/>
      <c r="K68" s="9" t="s">
        <v>71</v>
      </c>
      <c r="L68" s="14">
        <f t="shared" ref="L68:L72" si="9">100*B68/H68</f>
        <v>35.97122302158273</v>
      </c>
      <c r="M68" s="14">
        <f t="shared" ref="M68:M72" si="10">100*C68/H68</f>
        <v>0</v>
      </c>
      <c r="N68" s="14">
        <f t="shared" ref="N68:N72" si="11">100*D68/H68</f>
        <v>1.4388489208633093</v>
      </c>
      <c r="O68" s="14">
        <f t="shared" ref="O68:O72" si="12">100*E68/H68</f>
        <v>61.151079136690647</v>
      </c>
      <c r="P68" s="14">
        <f t="shared" ref="P68:P72" si="13">100*F68/H68</f>
        <v>0</v>
      </c>
      <c r="Q68" s="14">
        <f t="shared" ref="Q68:Q72" si="14">100*G68/H68</f>
        <v>1.4388489208633093</v>
      </c>
      <c r="R68" s="4">
        <f t="shared" ref="R68:R72" si="15">100*H68/H68</f>
        <v>100</v>
      </c>
    </row>
    <row r="69" spans="1:18" x14ac:dyDescent="0.2">
      <c r="A69" s="9" t="s">
        <v>72</v>
      </c>
      <c r="B69" s="2">
        <v>27</v>
      </c>
      <c r="C69" s="2">
        <v>0</v>
      </c>
      <c r="D69" s="2">
        <v>0</v>
      </c>
      <c r="E69" s="2">
        <v>79</v>
      </c>
      <c r="F69" s="2">
        <v>0</v>
      </c>
      <c r="G69" s="2">
        <v>0</v>
      </c>
      <c r="H69" s="3">
        <f t="shared" si="8"/>
        <v>106</v>
      </c>
      <c r="I69" s="3"/>
      <c r="J69" s="3"/>
      <c r="K69" s="9" t="s">
        <v>72</v>
      </c>
      <c r="L69" s="14">
        <f t="shared" si="9"/>
        <v>25.471698113207548</v>
      </c>
      <c r="M69" s="14">
        <f t="shared" si="10"/>
        <v>0</v>
      </c>
      <c r="N69" s="14">
        <f t="shared" si="11"/>
        <v>0</v>
      </c>
      <c r="O69" s="14">
        <f t="shared" si="12"/>
        <v>74.528301886792448</v>
      </c>
      <c r="P69" s="14">
        <f t="shared" si="13"/>
        <v>0</v>
      </c>
      <c r="Q69" s="14">
        <f t="shared" si="14"/>
        <v>0</v>
      </c>
      <c r="R69" s="4">
        <f t="shared" si="15"/>
        <v>100</v>
      </c>
    </row>
    <row r="70" spans="1:18" x14ac:dyDescent="0.2">
      <c r="A70" s="9" t="s">
        <v>73</v>
      </c>
      <c r="B70" s="2">
        <v>9</v>
      </c>
      <c r="C70" s="2">
        <v>0</v>
      </c>
      <c r="D70" s="2">
        <v>0</v>
      </c>
      <c r="E70" s="2">
        <v>25</v>
      </c>
      <c r="F70" s="2">
        <v>0</v>
      </c>
      <c r="G70" s="2">
        <v>0</v>
      </c>
      <c r="H70" s="3">
        <f t="shared" si="8"/>
        <v>34</v>
      </c>
      <c r="I70" s="3"/>
      <c r="J70" s="3"/>
      <c r="K70" s="9" t="s">
        <v>73</v>
      </c>
      <c r="L70" s="14">
        <f t="shared" si="9"/>
        <v>26.470588235294116</v>
      </c>
      <c r="M70" s="14">
        <f t="shared" si="10"/>
        <v>0</v>
      </c>
      <c r="N70" s="14">
        <f t="shared" si="11"/>
        <v>0</v>
      </c>
      <c r="O70" s="14">
        <f t="shared" si="12"/>
        <v>73.529411764705884</v>
      </c>
      <c r="P70" s="14">
        <f t="shared" si="13"/>
        <v>0</v>
      </c>
      <c r="Q70" s="14">
        <f t="shared" si="14"/>
        <v>0</v>
      </c>
      <c r="R70" s="4">
        <f t="shared" si="15"/>
        <v>100</v>
      </c>
    </row>
    <row r="71" spans="1:18" ht="17" thickBot="1" x14ac:dyDescent="0.25">
      <c r="A71" s="9" t="s">
        <v>74</v>
      </c>
      <c r="B71" s="2">
        <v>41</v>
      </c>
      <c r="C71" s="2">
        <v>0</v>
      </c>
      <c r="D71" s="2">
        <v>6</v>
      </c>
      <c r="E71" s="2">
        <v>572</v>
      </c>
      <c r="F71" s="2">
        <v>0</v>
      </c>
      <c r="G71" s="2">
        <v>0</v>
      </c>
      <c r="H71" s="3">
        <f t="shared" si="8"/>
        <v>619</v>
      </c>
      <c r="I71" s="3"/>
      <c r="J71" s="3"/>
      <c r="K71" s="9" t="s">
        <v>74</v>
      </c>
      <c r="L71" s="14">
        <f t="shared" si="9"/>
        <v>6.6235864297253633</v>
      </c>
      <c r="M71" s="14">
        <f t="shared" si="10"/>
        <v>0</v>
      </c>
      <c r="N71" s="14">
        <f t="shared" si="11"/>
        <v>0.96930533117932149</v>
      </c>
      <c r="O71" s="14">
        <f t="shared" si="12"/>
        <v>92.407108239095308</v>
      </c>
      <c r="P71" s="14">
        <f t="shared" si="13"/>
        <v>0</v>
      </c>
      <c r="Q71" s="14">
        <f t="shared" si="14"/>
        <v>0</v>
      </c>
      <c r="R71" s="4">
        <f t="shared" si="15"/>
        <v>100</v>
      </c>
    </row>
    <row r="72" spans="1:18" ht="17" thickBot="1" x14ac:dyDescent="0.25">
      <c r="A72" s="10" t="s">
        <v>75</v>
      </c>
      <c r="B72" s="11">
        <v>5473</v>
      </c>
      <c r="C72" s="12">
        <v>421</v>
      </c>
      <c r="D72" s="12">
        <v>1042</v>
      </c>
      <c r="E72" s="12">
        <v>11201</v>
      </c>
      <c r="F72" s="12">
        <v>1130</v>
      </c>
      <c r="G72" s="13">
        <v>86</v>
      </c>
      <c r="H72" s="3">
        <f t="shared" si="8"/>
        <v>19353</v>
      </c>
      <c r="I72" s="3"/>
      <c r="J72" s="3"/>
      <c r="K72" s="24" t="s">
        <v>75</v>
      </c>
      <c r="L72" s="25">
        <f t="shared" si="9"/>
        <v>28.279853252725676</v>
      </c>
      <c r="M72" s="25">
        <f t="shared" si="10"/>
        <v>2.1753733271327444</v>
      </c>
      <c r="N72" s="25">
        <f t="shared" si="11"/>
        <v>5.3841781635922077</v>
      </c>
      <c r="O72" s="25">
        <f t="shared" si="12"/>
        <v>57.877331679842918</v>
      </c>
      <c r="P72" s="25">
        <f t="shared" si="13"/>
        <v>5.8388880276959645</v>
      </c>
      <c r="Q72" s="26">
        <f t="shared" si="14"/>
        <v>0.44437554901048931</v>
      </c>
      <c r="R72" s="27"/>
    </row>
    <row r="73" spans="1:18" x14ac:dyDescent="0.2">
      <c r="A73" s="1"/>
      <c r="B73" s="3"/>
      <c r="C73" s="3"/>
      <c r="D73" s="3"/>
      <c r="E73" s="3"/>
      <c r="F73" s="3"/>
      <c r="G73" s="3"/>
      <c r="H73" s="3"/>
      <c r="I73" s="3"/>
      <c r="J73" s="3"/>
    </row>
    <row r="74" spans="1:18" x14ac:dyDescent="0.2">
      <c r="A74" s="1"/>
      <c r="B74" s="3"/>
      <c r="C74" s="3"/>
      <c r="D74" s="3"/>
      <c r="E74" s="3"/>
      <c r="F74" s="3"/>
      <c r="G74" s="3"/>
      <c r="H74" s="3"/>
      <c r="I74" s="3"/>
      <c r="J74" s="3"/>
    </row>
    <row r="75" spans="1:18" x14ac:dyDescent="0.2">
      <c r="A75" s="1"/>
      <c r="B75" s="3"/>
      <c r="C75" s="3"/>
      <c r="D75" s="3"/>
      <c r="E75" s="3"/>
      <c r="F75" s="3"/>
      <c r="G75" s="3"/>
      <c r="H75" s="3"/>
      <c r="I75" s="3"/>
      <c r="J75" s="3"/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2020-07-30T18:55:33Z</dcterms:created>
  <dcterms:modified xsi:type="dcterms:W3CDTF">2021-01-12T21:57:43Z</dcterms:modified>
</cp:coreProperties>
</file>